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sumen" sheetId="2" state="visible" r:id="rId2"/>
    <sheet xmlns:r="http://schemas.openxmlformats.org/officeDocument/2006/relationships" name="Rol 1 (principal)" sheetId="3" state="visible" r:id="rId3"/>
    <sheet xmlns:r="http://schemas.openxmlformats.org/officeDocument/2006/relationships" name="Rol 2" sheetId="4" state="visible" r:id="rId4"/>
    <sheet xmlns:r="http://schemas.openxmlformats.org/officeDocument/2006/relationships" name="Rol 3"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0">
    <font>
      <name val="Calibri"/>
      <family val="2"/>
      <color theme="1"/>
      <sz val="11"/>
      <scheme val="minor"/>
    </font>
    <font>
      <name val="Arial"/>
      <b val="1"/>
      <color rgb="00000000"/>
      <sz val="14"/>
    </font>
    <font>
      <name val="Arial"/>
      <i val="1"/>
      <color rgb="00555555"/>
      <sz val="10"/>
    </font>
    <font>
      <name val="Arial"/>
      <b val="1"/>
      <color rgb="001F5F8B"/>
      <sz val="11"/>
    </font>
    <font>
      <name val="Arial"/>
      <b val="1"/>
      <color rgb="00000000"/>
      <sz val="10"/>
    </font>
    <font>
      <name val="Arial"/>
      <color rgb="00000000"/>
      <sz val="10"/>
    </font>
    <font>
      <name val="Arial"/>
      <color rgb="000000FF"/>
      <sz val="10"/>
    </font>
    <font>
      <name val="Arial"/>
      <b val="1"/>
      <color rgb="00000000"/>
      <sz val="13"/>
    </font>
    <font>
      <name val="Arial"/>
      <b val="1"/>
      <color rgb="00FFFFFF"/>
      <sz val="10"/>
    </font>
    <font>
      <name val="Arial"/>
      <i val="1"/>
      <color rgb="007F7F7F"/>
      <sz val="10"/>
    </font>
  </fonts>
  <fills count="6">
    <fill>
      <patternFill/>
    </fill>
    <fill>
      <patternFill patternType="gray125"/>
    </fill>
    <fill>
      <patternFill patternType="solid">
        <fgColor rgb="001F5F8B"/>
      </patternFill>
    </fill>
    <fill>
      <patternFill patternType="solid">
        <fgColor rgb="00DCE8F1"/>
      </patternFill>
    </fill>
    <fill>
      <patternFill patternType="solid">
        <fgColor rgb="00EEEEEE"/>
      </patternFill>
    </fill>
    <fill>
      <patternFill patternType="solid">
        <fgColor rgb="00FFF4C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pivotButton="0" quotePrefix="0" xfId="0"/>
    <xf numFmtId="0" fontId="6" fillId="0" borderId="0" applyAlignment="1" pivotButton="0" quotePrefix="0" xfId="0">
      <alignment horizontal="left"/>
    </xf>
    <xf numFmtId="9" fontId="6" fillId="0" borderId="0" applyAlignment="1" pivotButton="0" quotePrefix="0" xfId="0">
      <alignment horizontal="left"/>
    </xf>
    <xf numFmtId="0" fontId="8" fillId="2" borderId="1" applyAlignment="1" pivotButton="0" quotePrefix="0" xfId="0">
      <alignment horizontal="center" vertical="center" wrapText="1"/>
    </xf>
    <xf numFmtId="0" fontId="5"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9"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4" fillId="3" borderId="1" pivotButton="0" quotePrefix="0" xfId="0"/>
    <xf numFmtId="0" fontId="4" fillId="3" borderId="1" applyAlignment="1" pivotButton="0" quotePrefix="0" xfId="0">
      <alignment horizontal="center" vertical="center" wrapText="1"/>
    </xf>
    <xf numFmtId="9" fontId="4" fillId="3" borderId="1" applyAlignment="1" pivotButton="0" quotePrefix="0" xfId="0">
      <alignment horizontal="center" vertical="center" wrapText="1"/>
    </xf>
    <xf numFmtId="0" fontId="7" fillId="0" borderId="0" pivotButton="0" quotePrefix="0" xfId="0"/>
    <xf numFmtId="0" fontId="8" fillId="2" borderId="0" pivotButton="0" quotePrefix="0" xfId="0"/>
    <xf numFmtId="0" fontId="9" fillId="4" borderId="1" pivotButton="0" quotePrefix="0" xfId="0"/>
    <xf numFmtId="165" fontId="9" fillId="4" borderId="1" pivotButton="0" quotePrefix="0" xfId="0"/>
    <xf numFmtId="0" fontId="9" fillId="4" borderId="1" applyAlignment="1" pivotButton="0" quotePrefix="0" xfId="0">
      <alignment horizontal="center" vertical="center" wrapText="1"/>
    </xf>
    <xf numFmtId="49" fontId="9" fillId="4" borderId="1" pivotButton="0" quotePrefix="0" xfId="0"/>
    <xf numFmtId="164" fontId="9" fillId="4" borderId="1" pivotButton="0" quotePrefix="0" xfId="0"/>
    <xf numFmtId="164"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0" fontId="5" fillId="5" borderId="1" pivotButton="0" quotePrefix="0" xfId="0"/>
    <xf numFmtId="165" fontId="5" fillId="5" borderId="1" pivotButton="0" quotePrefix="0" xfId="0"/>
    <xf numFmtId="0" fontId="5" fillId="5" borderId="1" applyAlignment="1" pivotButton="0" quotePrefix="0" xfId="0">
      <alignment horizontal="center" vertical="center" wrapText="1"/>
    </xf>
    <xf numFmtId="49" fontId="5" fillId="5" borderId="1" pivotButton="0" quotePrefix="0" xfId="0"/>
    <xf numFmtId="164"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3"/>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1">
      <c r="B1" s="1" t="inlineStr">
        <is>
          <t>Pruebas con usuarios (UAT y usabilidad)</t>
        </is>
      </c>
    </row>
    <row r="2">
      <c r="B2" s="2" t="inlineStr">
        <is>
          <t>Funcionales y de aceptación (UAT) y usabilidad. Una fila por participante en la hoja de su rol.</t>
        </is>
      </c>
    </row>
    <row r="4">
      <c r="B4" s="3" t="inlineStr">
        <is>
          <t>Cómo se llena</t>
        </is>
      </c>
    </row>
    <row r="5">
      <c r="B5" s="4" t="inlineStr">
        <is>
          <t>Celdas amarillas</t>
        </is>
      </c>
      <c r="C5" s="5" t="inlineStr">
        <is>
          <t>Son las únicas que se llenan. Lo demás se calcula solo.</t>
        </is>
      </c>
    </row>
    <row r="6">
      <c r="B6" s="4" t="inlineStr">
        <is>
          <t>Fila gris</t>
        </is>
      </c>
      <c r="C6" s="5" t="inlineStr">
        <is>
          <t>Es un ejemplo del formato y no cuenta en el resumen.</t>
        </is>
      </c>
    </row>
    <row r="7">
      <c r="B7" s="4" t="inlineStr">
        <is>
          <t>Resultado</t>
        </is>
      </c>
      <c r="C7" s="5" t="inlineStr">
        <is>
          <t>Lista desplegable: Cumple (sin ayuda) · Con ayuda · No cumple. Solo «Cumple» cuenta como éxito.</t>
        </is>
      </c>
    </row>
    <row r="8">
      <c r="B8" s="4" t="inlineStr">
        <is>
          <t>Minuto en video</t>
        </is>
      </c>
      <c r="C8" s="5" t="inlineStr">
        <is>
          <t>Minuto en que empieza el caso en la grabación, por ejemplo 03:15.</t>
        </is>
      </c>
    </row>
    <row r="9">
      <c r="B9" s="4" t="inlineStr">
        <is>
          <t>Tiempo (min)</t>
        </is>
      </c>
      <c r="C9" s="5" t="inlineStr">
        <is>
          <t>Minutos que tardó la persona en el caso, por ejemplo 2,5.</t>
        </is>
      </c>
    </row>
    <row r="10">
      <c r="B10" s="4" t="inlineStr">
        <is>
          <t>Errores</t>
        </is>
      </c>
      <c r="C10" s="5" t="inlineStr">
        <is>
          <t>Clics equivocados, retrocesos o mensajes de error que vio la persona.</t>
        </is>
      </c>
    </row>
    <row r="11">
      <c r="B11" s="4" t="inlineStr">
        <is>
          <t>SUS P1 a P10</t>
        </is>
      </c>
      <c r="C11" s="5" t="inlineStr">
        <is>
          <t>Respuesta de la persona, del 1 al 5. El puntaje SUS aparece al llenar las 10.</t>
        </is>
      </c>
    </row>
    <row r="13">
      <c r="B13" s="3" t="inlineStr">
        <is>
          <t>Protocolo de grabación</t>
        </is>
      </c>
    </row>
    <row r="14">
      <c r="B14" s="4" t="inlineStr">
        <is>
          <t>1. Grabación</t>
        </is>
      </c>
      <c r="C14" s="5" t="inlineStr">
        <is>
          <t>Pantalla completa con el audio del micrófono, sin cortes, de principio a fin.</t>
        </is>
      </c>
    </row>
    <row r="15">
      <c r="B15" s="4" t="inlineStr">
        <is>
          <t>2. Apertura</t>
        </is>
      </c>
      <c r="C15" s="5" t="inlineStr">
        <is>
          <t>La persona dice su código, su rol, la fecha y la hora en pantalla, y «Autorizo esta grabación para fines de evaluación».</t>
        </is>
      </c>
    </row>
    <row r="16">
      <c r="B16" s="4" t="inlineStr">
        <is>
          <t>3. Persona en vivo</t>
        </is>
      </c>
      <c r="C16" s="5" t="inlineStr">
        <is>
          <t>El moderador dicta un número al azar; la persona lo dice en voz alta y lo escribe en la plataforma.</t>
        </is>
      </c>
    </row>
    <row r="17">
      <c r="B17" s="4" t="inlineStr">
        <is>
          <t>4. Durante los casos</t>
        </is>
      </c>
      <c r="C17" s="5" t="inlineStr">
        <is>
          <t>Antes de cada caso dice su código (por ejemplo «Caso ADM-01»). Piensa en voz alta. El moderador no ayuda.</t>
        </is>
      </c>
    </row>
    <row r="18">
      <c r="B18" s="4" t="inlineStr">
        <is>
          <t>5. Casos con efectos</t>
        </is>
      </c>
      <c r="C18" s="5" t="inlineStr">
        <is>
          <t>Si un caso genera efectos reales (alertas, avisos, cobros), usar las cuentas del espacio de prueba y avisar antes al equipo.</t>
        </is>
      </c>
    </row>
    <row r="19">
      <c r="B19" s="4" t="inlineStr">
        <is>
          <t>6. Cierre</t>
        </is>
      </c>
      <c r="C19" s="5" t="inlineStr">
        <is>
          <t>Responde las 10 preguntas del SUS en voz alta.</t>
        </is>
      </c>
    </row>
    <row r="20">
      <c r="B20" s="4" t="inlineStr">
        <is>
          <t>Dónde va el video</t>
        </is>
      </c>
      <c r="C20" s="5" t="inlineStr">
        <is>
          <t>evidencia/02-08_usuarios/&lt;rol&gt;/&lt;código&gt;.mp4</t>
        </is>
      </c>
    </row>
    <row r="22">
      <c r="B22" s="3" t="inlineStr">
        <is>
          <t>Flujo completo (casos marcados [Flujo completo])</t>
        </is>
      </c>
    </row>
    <row r="23">
      <c r="B23" s="4" t="inlineStr">
        <is>
          <t>Qué demuestra</t>
        </is>
      </c>
      <c r="C23" s="5" t="inlineStr">
        <is>
          <t>Una misma entidad de prueba recorre todo el proceso, de punta a punta, con las mismas personas de cada rol.</t>
        </is>
      </c>
    </row>
    <row r="24">
      <c r="B24" s="4" t="inlineStr">
        <is>
          <t>Orden de las sesiones</t>
        </is>
      </c>
      <c r="C24" s="5" t="inlineStr">
        <is>
          <t>&lt;Escriba el orden: por ejemplo 1) Rol 2: R2-01 · 2) Rol 3: R3-01 · 3) Rol 1: R1-01&gt;</t>
        </is>
      </c>
    </row>
    <row r="25">
      <c r="B25" s="4" t="inlineStr">
        <is>
          <t>Condiciones</t>
        </is>
      </c>
      <c r="C25" s="5" t="inlineStr">
        <is>
          <t>Mismo día y misma entidad de prueba (con el prefijo TRL-QA-). Cada sesión empieza cuando la anterior terminó. Anotar en Observaciones el código de la entidad.</t>
        </is>
      </c>
    </row>
    <row r="27">
      <c r="B27" s="3" t="inlineStr">
        <is>
          <t>Metas</t>
        </is>
      </c>
    </row>
    <row r="28">
      <c r="B28" s="6" t="inlineStr">
        <is>
          <t>SUS mínimo</t>
        </is>
      </c>
      <c r="C28" s="7" t="n">
        <v>68</v>
      </c>
    </row>
    <row r="29">
      <c r="B29" s="6" t="inlineStr">
        <is>
          <t>Éxito mínimo de tareas</t>
        </is>
      </c>
      <c r="C29" s="8" t="n">
        <v>0.85</v>
      </c>
    </row>
    <row r="30">
      <c r="C30" s="2" t="inlineStr">
        <is>
          <t>SUS 68 es el promedio estándar de referencia; 85 % de éxito es la meta del plan de usabilidad. Valores en azul, editables.</t>
        </is>
      </c>
    </row>
    <row r="32">
      <c r="B32" s="3" t="inlineStr">
        <is>
          <t>Cuestionario SUS (1 = totalmente en desacuerdo · 5 = totalmente de acuerdo)</t>
        </is>
      </c>
    </row>
    <row r="33">
      <c r="B33" s="4" t="inlineStr">
        <is>
          <t>P1</t>
        </is>
      </c>
      <c r="C33" s="5" t="inlineStr">
        <is>
          <t>Creo que me gustaría usar esta plataforma con frecuencia.</t>
        </is>
      </c>
    </row>
    <row r="34">
      <c r="B34" s="4" t="inlineStr">
        <is>
          <t>P2</t>
        </is>
      </c>
      <c r="C34" s="5" t="inlineStr">
        <is>
          <t>Encontré la plataforma innecesariamente compleja.</t>
        </is>
      </c>
    </row>
    <row r="35">
      <c r="B35" s="4" t="inlineStr">
        <is>
          <t>P3</t>
        </is>
      </c>
      <c r="C35" s="5" t="inlineStr">
        <is>
          <t>Pensé que la plataforma era fácil de usar.</t>
        </is>
      </c>
    </row>
    <row r="36">
      <c r="B36" s="4" t="inlineStr">
        <is>
          <t>P4</t>
        </is>
      </c>
      <c r="C36" s="5" t="inlineStr">
        <is>
          <t>Creo que necesitaría el apoyo de una persona técnica para poder usar la plataforma.</t>
        </is>
      </c>
    </row>
    <row r="37">
      <c r="B37" s="4" t="inlineStr">
        <is>
          <t>P5</t>
        </is>
      </c>
      <c r="C37" s="5" t="inlineStr">
        <is>
          <t>Encontré que las diferentes funciones de la plataforma estaban bien integradas.</t>
        </is>
      </c>
    </row>
    <row r="38">
      <c r="B38" s="4" t="inlineStr">
        <is>
          <t>P6</t>
        </is>
      </c>
      <c r="C38" s="5" t="inlineStr">
        <is>
          <t>Pensé que había demasiada inconsistencia en la plataforma.</t>
        </is>
      </c>
    </row>
    <row r="39">
      <c r="B39" s="4" t="inlineStr">
        <is>
          <t>P7</t>
        </is>
      </c>
      <c r="C39" s="5" t="inlineStr">
        <is>
          <t>Imagino que la mayoría de las personas aprenderían a usar esta plataforma muy rápido.</t>
        </is>
      </c>
    </row>
    <row r="40">
      <c r="B40" s="4" t="inlineStr">
        <is>
          <t>P8</t>
        </is>
      </c>
      <c r="C40" s="5" t="inlineStr">
        <is>
          <t>Encontré la plataforma muy incómoda de usar.</t>
        </is>
      </c>
    </row>
    <row r="41">
      <c r="B41" s="4" t="inlineStr">
        <is>
          <t>P9</t>
        </is>
      </c>
      <c r="C41" s="5" t="inlineStr">
        <is>
          <t>Me sentí muy seguro/a usando la plataforma.</t>
        </is>
      </c>
    </row>
    <row r="42">
      <c r="B42" s="4" t="inlineStr">
        <is>
          <t>P10</t>
        </is>
      </c>
      <c r="C42" s="5" t="inlineStr">
        <is>
          <t>Necesité aprender muchas cosas antes de poder empezar a usar la plataforma.</t>
        </is>
      </c>
    </row>
    <row r="43">
      <c r="B43" s="4" t="inlineStr">
        <is>
          <t>Cálculo</t>
        </is>
      </c>
      <c r="C43" s="5" t="inlineStr">
        <is>
          <t>Impares: respuesta − 1. Pares: 5 − respuesta. Se suman los 10 valores y se multiplica por 2,5. Resultado de 0 a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Resumen por rol</t>
        </is>
      </c>
    </row>
    <row r="2">
      <c r="A2" s="2" t="inlineStr">
        <is>
          <t>Se calcula solo a partir de las hojas de cada rol. No incluye las filas de ejemplo.</t>
        </is>
      </c>
    </row>
    <row r="4" ht="32" customHeight="1">
      <c r="A4" s="9" t="inlineStr">
        <is>
          <t>Rol</t>
        </is>
      </c>
      <c r="B4" s="9" t="inlineStr">
        <is>
          <t>Participantes</t>
        </is>
      </c>
      <c r="C4" s="9" t="inlineStr">
        <is>
          <t>Participantes previstos</t>
        </is>
      </c>
      <c r="D4" s="9" t="inlineStr">
        <is>
          <t>Casos intentados</t>
        </is>
      </c>
      <c r="E4" s="9" t="inlineStr">
        <is>
          <t>Casos en Cumple</t>
        </is>
      </c>
      <c r="F4" s="9" t="inlineStr">
        <is>
          <t>Éxito de tareas</t>
        </is>
      </c>
      <c r="G4" s="9" t="inlineStr">
        <is>
          <t>Errores promedio por persona</t>
        </is>
      </c>
      <c r="H4" s="9" t="inlineStr">
        <is>
          <t>SUS promedio</t>
        </is>
      </c>
      <c r="I4" s="9" t="inlineStr">
        <is>
          <t>Cumple meta SUS</t>
        </is>
      </c>
      <c r="J4" s="9" t="inlineStr">
        <is>
          <t>Cumple meta de éxito</t>
        </is>
      </c>
      <c r="K4" s="9" t="inlineStr">
        <is>
          <t>Tiempo promedio por caso (min)</t>
        </is>
      </c>
    </row>
    <row r="5">
      <c r="A5" s="10" t="inlineStr">
        <is>
          <t>Rol 1 (principal)</t>
        </is>
      </c>
      <c r="B5" s="11">
        <f>COUNTA('Rol 1 (principal)'!$A$11:$A$20)</f>
        <v/>
      </c>
      <c r="C5" s="12" t="n">
        <v>1</v>
      </c>
      <c r="D5" s="11">
        <f>SUM('Rol 1 (principal)'!$AA$11:$AA$20)</f>
        <v/>
      </c>
      <c r="E5" s="11">
        <f>SUM('Rol 1 (principal)'!$AB$11:$AB$20)</f>
        <v/>
      </c>
      <c r="F5" s="13">
        <f>IF(D5=0,"",E5/D5)</f>
        <v/>
      </c>
      <c r="G5" s="14">
        <f>IF(B5=0,"",SUM('Rol 1 (principal)'!$AD$11:$AD$20)/B5)</f>
        <v/>
      </c>
      <c r="H5" s="14">
        <f>IF(COUNT('Rol 1 (principal)'!$Z$11:$Z$20)=0,"",AVERAGE('Rol 1 (principal)'!$Z$11:$Z$20))</f>
        <v/>
      </c>
      <c r="I5" s="11">
        <f>IF(H5="","",IF(H5&gt;=Instrucciones!$C$28,"Sí","No"))</f>
        <v/>
      </c>
      <c r="J5" s="11">
        <f>IF(F5="","",IF(F5&gt;=Instrucciones!$C$29,"Sí","No"))</f>
        <v/>
      </c>
      <c r="K5" s="14">
        <f>IF(COUNT('Rol 1 (principal)'!$AE$11:$AE$20)=0,"",AVERAGE('Rol 1 (principal)'!$AE$11:$AE$20))</f>
        <v/>
      </c>
    </row>
    <row r="6">
      <c r="A6" s="10" t="inlineStr">
        <is>
          <t>Rol 2</t>
        </is>
      </c>
      <c r="B6" s="11">
        <f>COUNTA('Rol 2'!$A$10:$A$19)</f>
        <v/>
      </c>
      <c r="C6" s="12" t="n">
        <v>1</v>
      </c>
      <c r="D6" s="11">
        <f>SUM('Rol 2'!$W$10:$W$19)</f>
        <v/>
      </c>
      <c r="E6" s="11">
        <f>SUM('Rol 2'!$X$10:$X$19)</f>
        <v/>
      </c>
      <c r="F6" s="13">
        <f>IF(D6=0,"",E6/D6)</f>
        <v/>
      </c>
      <c r="G6" s="14">
        <f>IF(B6=0,"",SUM('Rol 2'!$Z$10:$Z$19)/B6)</f>
        <v/>
      </c>
      <c r="H6" s="14">
        <f>IF(COUNT('Rol 2'!$V$10:$V$19)=0,"",AVERAGE('Rol 2'!$V$10:$V$19))</f>
        <v/>
      </c>
      <c r="I6" s="11">
        <f>IF(H6="","",IF(H6&gt;=Instrucciones!$C$28,"Sí","No"))</f>
        <v/>
      </c>
      <c r="J6" s="11">
        <f>IF(F6="","",IF(F6&gt;=Instrucciones!$C$29,"Sí","No"))</f>
        <v/>
      </c>
      <c r="K6" s="14">
        <f>IF(COUNT('Rol 2'!$AA$10:$AA$19)=0,"",AVERAGE('Rol 2'!$AA$10:$AA$19))</f>
        <v/>
      </c>
    </row>
    <row r="7">
      <c r="A7" s="10" t="inlineStr">
        <is>
          <t>Rol 3</t>
        </is>
      </c>
      <c r="B7" s="11">
        <f>COUNTA('Rol 3'!$A$10:$A$19)</f>
        <v/>
      </c>
      <c r="C7" s="12" t="n">
        <v>1</v>
      </c>
      <c r="D7" s="11">
        <f>SUM('Rol 3'!$W$10:$W$19)</f>
        <v/>
      </c>
      <c r="E7" s="11">
        <f>SUM('Rol 3'!$X$10:$X$19)</f>
        <v/>
      </c>
      <c r="F7" s="13">
        <f>IF(D7=0,"",E7/D7)</f>
        <v/>
      </c>
      <c r="G7" s="14">
        <f>IF(B7=0,"",SUM('Rol 3'!$Z$10:$Z$19)/B7)</f>
        <v/>
      </c>
      <c r="H7" s="14">
        <f>IF(COUNT('Rol 3'!$V$10:$V$19)=0,"",AVERAGE('Rol 3'!$V$10:$V$19))</f>
        <v/>
      </c>
      <c r="I7" s="11">
        <f>IF(H7="","",IF(H7&gt;=Instrucciones!$C$28,"Sí","No"))</f>
        <v/>
      </c>
      <c r="J7" s="11">
        <f>IF(F7="","",IF(F7&gt;=Instrucciones!$C$29,"Sí","No"))</f>
        <v/>
      </c>
      <c r="K7" s="14">
        <f>IF(COUNT('Rol 3'!$AA$10:$AA$19)=0,"",AVERAGE('Rol 3'!$AA$10:$AA$19))</f>
        <v/>
      </c>
    </row>
    <row r="8">
      <c r="A8" s="15" t="inlineStr">
        <is>
          <t>Total</t>
        </is>
      </c>
      <c r="B8" s="16">
        <f>SUM(B5:B7)</f>
        <v/>
      </c>
      <c r="C8" s="16">
        <f>SUM(C5:C7)</f>
        <v/>
      </c>
      <c r="D8" s="16">
        <f>SUM(D5:D7)</f>
        <v/>
      </c>
      <c r="E8" s="16">
        <f>SUM(E5:E7)</f>
        <v/>
      </c>
      <c r="F8" s="17">
        <f>IF(D8=0,"",E8/D8)</f>
        <v/>
      </c>
      <c r="G8" s="16" t="n"/>
      <c r="H8" s="16" t="n"/>
      <c r="I8" s="16" t="n"/>
      <c r="J8" s="16" t="n"/>
      <c r="K8" s="16" t="n"/>
    </row>
    <row r="10">
      <c r="A10" s="2" t="inlineStr">
        <is>
          <t>Participantes previstos según el marco TRL 6: al menos 1 por rol, que no haya participado en el desarrollo ni en las pruebas (valores en azul, editables). Renombre las hojas con los roles reales.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0"/>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11" customWidth="1" min="26" max="26"/>
    <col width="11" customWidth="1" min="27" max="27"/>
    <col width="11" customWidth="1" min="28" max="28"/>
    <col width="11" customWidth="1" min="29" max="29"/>
    <col width="11" customWidth="1" min="30" max="30"/>
    <col width="11" customWidth="1" min="31" max="31"/>
    <col width="40" customWidth="1" min="32" max="32"/>
  </cols>
  <sheetData>
    <row r="1">
      <c r="A1" s="18" t="inlineStr">
        <is>
          <t>Rol 1 (principal) · casos de prueba</t>
        </is>
      </c>
    </row>
    <row r="3">
      <c r="A3" s="19" t="inlineStr">
        <is>
          <t>Caso</t>
        </is>
      </c>
      <c r="B3" s="19" t="inlineStr">
        <is>
          <t>Tarea</t>
        </is>
      </c>
      <c r="C3" s="19" t="inlineStr">
        <is>
          <t>Resultado esperado</t>
        </is>
      </c>
    </row>
    <row r="4" ht="30" customHeight="1">
      <c r="A4" s="6" t="inlineStr">
        <is>
          <t>R1-01</t>
        </is>
      </c>
      <c r="B4" s="5" t="inlineStr">
        <is>
          <t>[Flujo completo] &lt;Tarea del rol principal en el flujo de punta a punta&gt;</t>
        </is>
      </c>
      <c r="C4" s="5" t="inlineStr">
        <is>
          <t>&lt;Resultado observable esperado&gt;</t>
        </is>
      </c>
    </row>
    <row r="5" ht="30" customHeight="1">
      <c r="A5" s="6" t="inlineStr">
        <is>
          <t>R1-02</t>
        </is>
      </c>
      <c r="B5" s="5" t="inlineStr">
        <is>
          <t>&lt;Tarea&gt;</t>
        </is>
      </c>
      <c r="C5" s="5" t="inlineStr">
        <is>
          <t>&lt;Resultado esperado&gt;</t>
        </is>
      </c>
    </row>
    <row r="6" ht="30" customHeight="1">
      <c r="A6" s="6" t="inlineStr">
        <is>
          <t>R1-03</t>
        </is>
      </c>
      <c r="B6" s="5" t="inlineStr">
        <is>
          <t>&lt;Tarea&gt;</t>
        </is>
      </c>
      <c r="C6" s="5" t="inlineStr">
        <is>
          <t>&lt;Resultado esperado&gt;</t>
        </is>
      </c>
    </row>
    <row r="8">
      <c r="A8" s="9" t="n"/>
      <c r="B8" s="9" t="n"/>
      <c r="C8" s="9" t="n"/>
      <c r="D8" s="9" t="inlineStr">
        <is>
          <t>R1-01</t>
        </is>
      </c>
      <c r="E8" s="9" t="n"/>
      <c r="F8" s="9" t="n"/>
      <c r="G8" s="9" t="n"/>
      <c r="H8" s="9" t="inlineStr">
        <is>
          <t>R1-02</t>
        </is>
      </c>
      <c r="I8" s="9" t="n"/>
      <c r="J8" s="9" t="n"/>
      <c r="K8" s="9" t="n"/>
      <c r="L8" s="9" t="inlineStr">
        <is>
          <t>R1-03</t>
        </is>
      </c>
      <c r="M8" s="9" t="n"/>
      <c r="N8" s="9" t="n"/>
      <c r="O8" s="9" t="n"/>
      <c r="P8" s="9" t="inlineStr">
        <is>
          <t>SUS (1 a 5)</t>
        </is>
      </c>
      <c r="Q8" s="9" t="n"/>
      <c r="R8" s="9" t="n"/>
      <c r="S8" s="9" t="n"/>
      <c r="T8" s="9" t="n"/>
      <c r="U8" s="9" t="n"/>
      <c r="V8" s="9" t="n"/>
      <c r="W8" s="9" t="n"/>
      <c r="X8" s="9" t="n"/>
      <c r="Y8" s="9" t="n"/>
      <c r="Z8" s="9" t="inlineStr">
        <is>
          <t>Calculado (no editar)</t>
        </is>
      </c>
      <c r="AA8" s="9" t="n"/>
      <c r="AB8" s="9" t="n"/>
      <c r="AC8" s="9" t="n"/>
      <c r="AD8" s="9" t="n"/>
      <c r="AE8" s="9" t="n"/>
      <c r="AF8" s="9" t="n"/>
    </row>
    <row r="9" ht="30" customHeight="1">
      <c r="A9" s="16" t="inlineStr">
        <is>
          <t>Participante (código)</t>
        </is>
      </c>
      <c r="B9" s="16" t="inlineStr">
        <is>
          <t>Fecha</t>
        </is>
      </c>
      <c r="C9" s="16" t="inlineStr">
        <is>
          <t>Archivo de video</t>
        </is>
      </c>
      <c r="D9" s="16" t="inlineStr">
        <is>
          <t>Resultado</t>
        </is>
      </c>
      <c r="E9" s="16" t="inlineStr">
        <is>
          <t>Minuto en video</t>
        </is>
      </c>
      <c r="F9" s="16" t="inlineStr">
        <is>
          <t>Tiempo (min)</t>
        </is>
      </c>
      <c r="G9" s="16" t="inlineStr">
        <is>
          <t>Errores</t>
        </is>
      </c>
      <c r="H9" s="16" t="inlineStr">
        <is>
          <t>Resultado</t>
        </is>
      </c>
      <c r="I9" s="16" t="inlineStr">
        <is>
          <t>Minuto en video</t>
        </is>
      </c>
      <c r="J9" s="16" t="inlineStr">
        <is>
          <t>Tiempo (min)</t>
        </is>
      </c>
      <c r="K9" s="16" t="inlineStr">
        <is>
          <t>Errores</t>
        </is>
      </c>
      <c r="L9" s="16" t="inlineStr">
        <is>
          <t>Resultado</t>
        </is>
      </c>
      <c r="M9" s="16" t="inlineStr">
        <is>
          <t>Minuto en video</t>
        </is>
      </c>
      <c r="N9" s="16" t="inlineStr">
        <is>
          <t>Tiempo (min)</t>
        </is>
      </c>
      <c r="O9" s="16" t="inlineStr">
        <is>
          <t>Errores</t>
        </is>
      </c>
      <c r="P9" s="16" t="inlineStr">
        <is>
          <t>P1</t>
        </is>
      </c>
      <c r="Q9" s="16" t="inlineStr">
        <is>
          <t>P2</t>
        </is>
      </c>
      <c r="R9" s="16" t="inlineStr">
        <is>
          <t>P3</t>
        </is>
      </c>
      <c r="S9" s="16" t="inlineStr">
        <is>
          <t>P4</t>
        </is>
      </c>
      <c r="T9" s="16" t="inlineStr">
        <is>
          <t>P5</t>
        </is>
      </c>
      <c r="U9" s="16" t="inlineStr">
        <is>
          <t>P6</t>
        </is>
      </c>
      <c r="V9" s="16" t="inlineStr">
        <is>
          <t>P7</t>
        </is>
      </c>
      <c r="W9" s="16" t="inlineStr">
        <is>
          <t>P8</t>
        </is>
      </c>
      <c r="X9" s="16" t="inlineStr">
        <is>
          <t>P9</t>
        </is>
      </c>
      <c r="Y9" s="16" t="inlineStr">
        <is>
          <t>P10</t>
        </is>
      </c>
      <c r="Z9" s="16" t="inlineStr">
        <is>
          <t>Puntaje SUS</t>
        </is>
      </c>
      <c r="AA9" s="16" t="inlineStr">
        <is>
          <t>Casos intentados</t>
        </is>
      </c>
      <c r="AB9" s="16" t="inlineStr">
        <is>
          <t>Casos en Cumple</t>
        </is>
      </c>
      <c r="AC9" s="16" t="inlineStr">
        <is>
          <t>Éxito de tareas</t>
        </is>
      </c>
      <c r="AD9" s="16" t="inlineStr">
        <is>
          <t>Errores totales</t>
        </is>
      </c>
      <c r="AE9" s="16" t="inlineStr">
        <is>
          <t>Tiempo promedio por caso (min)</t>
        </is>
      </c>
      <c r="AF9" s="16" t="inlineStr">
        <is>
          <t>Observaciones</t>
        </is>
      </c>
    </row>
    <row r="10">
      <c r="A10" s="20" t="inlineStr">
        <is>
          <t>EJEMPLO</t>
        </is>
      </c>
      <c r="B10" s="21" t="n">
        <v>46037</v>
      </c>
      <c r="C10" s="20" t="inlineStr">
        <is>
          <t>R1-01.mp4</t>
        </is>
      </c>
      <c r="D10" s="22" t="inlineStr">
        <is>
          <t>Cumple</t>
        </is>
      </c>
      <c r="E10" s="23" t="inlineStr">
        <is>
          <t>01:00</t>
        </is>
      </c>
      <c r="F10" s="24" t="n">
        <v>1.5</v>
      </c>
      <c r="G10" s="20" t="n">
        <v>0</v>
      </c>
      <c r="H10" s="22" t="inlineStr">
        <is>
          <t>Con ayuda</t>
        </is>
      </c>
      <c r="I10" s="23" t="inlineStr">
        <is>
          <t>04:17</t>
        </is>
      </c>
      <c r="J10" s="24" t="n">
        <v>2.2</v>
      </c>
      <c r="K10" s="20" t="n">
        <v>1</v>
      </c>
      <c r="L10" s="22" t="inlineStr">
        <is>
          <t>Cumple</t>
        </is>
      </c>
      <c r="M10" s="23" t="inlineStr">
        <is>
          <t>07:34</t>
        </is>
      </c>
      <c r="N10" s="24" t="n">
        <v>2.9</v>
      </c>
      <c r="O10" s="20" t="n">
        <v>2</v>
      </c>
      <c r="P10" s="22" t="n">
        <v>4</v>
      </c>
      <c r="Q10" s="22" t="n">
        <v>2</v>
      </c>
      <c r="R10" s="22" t="n">
        <v>4</v>
      </c>
      <c r="S10" s="22" t="n">
        <v>1</v>
      </c>
      <c r="T10" s="22" t="n">
        <v>4</v>
      </c>
      <c r="U10" s="22" t="n">
        <v>2</v>
      </c>
      <c r="V10" s="22" t="n">
        <v>5</v>
      </c>
      <c r="W10" s="22" t="n">
        <v>1</v>
      </c>
      <c r="X10" s="22" t="n">
        <v>4</v>
      </c>
      <c r="Y10" s="22" t="n">
        <v>2</v>
      </c>
      <c r="Z10" s="25">
        <f>IF(COUNT(P10:Y10)=10,((P10+R10+T10+V10+X10-5)+(25-Q10-S10-U10-W10-Y10))*2.5,"")</f>
        <v/>
      </c>
      <c r="AA10" s="26">
        <f>IF($A10="","",(D10&lt;&gt;"")+(H10&lt;&gt;"")+(L10&lt;&gt;""))</f>
        <v/>
      </c>
      <c r="AB10" s="26">
        <f>IF($A10="","",(D10="Cumple")+(H10="Cumple")+(L10="Cumple"))</f>
        <v/>
      </c>
      <c r="AC10" s="27">
        <f>IF($A10="","",IF(AA10=0,"",AB10/AA10))</f>
        <v/>
      </c>
      <c r="AD10" s="26">
        <f>IF($A10="","",N(G10)+N(K10)+N(O10))</f>
        <v/>
      </c>
      <c r="AE10" s="25">
        <f>IF($A10="","",IF(COUNT(F10,J10,N10)=0,"",AVERAGE(F10,J10,N10)))</f>
        <v/>
      </c>
      <c r="AF10" s="20" t="inlineStr">
        <is>
          <t>Fila de ejemplo: no cuenta en el resumen</t>
        </is>
      </c>
    </row>
    <row r="11">
      <c r="A11" s="28" t="n"/>
      <c r="B11" s="29" t="n"/>
      <c r="C11" s="28" t="n"/>
      <c r="D11" s="30" t="n"/>
      <c r="E11" s="31" t="n"/>
      <c r="F11" s="32" t="n"/>
      <c r="G11" s="28" t="n"/>
      <c r="H11" s="30" t="n"/>
      <c r="I11" s="31" t="n"/>
      <c r="J11" s="32" t="n"/>
      <c r="K11" s="28" t="n"/>
      <c r="L11" s="30" t="n"/>
      <c r="M11" s="31" t="n"/>
      <c r="N11" s="32" t="n"/>
      <c r="O11" s="28" t="n"/>
      <c r="P11" s="30" t="n"/>
      <c r="Q11" s="30" t="n"/>
      <c r="R11" s="30" t="n"/>
      <c r="S11" s="30" t="n"/>
      <c r="T11" s="30" t="n"/>
      <c r="U11" s="30" t="n"/>
      <c r="V11" s="30" t="n"/>
      <c r="W11" s="30" t="n"/>
      <c r="X11" s="30" t="n"/>
      <c r="Y11" s="30" t="n"/>
      <c r="Z11" s="14">
        <f>IF(COUNT(P11:Y11)=10,((P11+R11+T11+V11+X11-5)+(25-Q11-S11-U11-W11-Y11))*2.5,"")</f>
        <v/>
      </c>
      <c r="AA11" s="11">
        <f>IF($A11="","",(D11&lt;&gt;"")+(H11&lt;&gt;"")+(L11&lt;&gt;""))</f>
        <v/>
      </c>
      <c r="AB11" s="11">
        <f>IF($A11="","",(D11="Cumple")+(H11="Cumple")+(L11="Cumple"))</f>
        <v/>
      </c>
      <c r="AC11" s="13">
        <f>IF($A11="","",IF(AA11=0,"",AB11/AA11))</f>
        <v/>
      </c>
      <c r="AD11" s="11">
        <f>IF($A11="","",N(G11)+N(K11)+N(O11))</f>
        <v/>
      </c>
      <c r="AE11" s="14">
        <f>IF($A11="","",IF(COUNT(F11,J11,N11)=0,"",AVERAGE(F11,J11,N11)))</f>
        <v/>
      </c>
      <c r="AF11" s="28" t="n"/>
    </row>
    <row r="12">
      <c r="A12" s="28" t="n"/>
      <c r="B12" s="29" t="n"/>
      <c r="C12" s="28" t="n"/>
      <c r="D12" s="30" t="n"/>
      <c r="E12" s="31" t="n"/>
      <c r="F12" s="32" t="n"/>
      <c r="G12" s="28" t="n"/>
      <c r="H12" s="30" t="n"/>
      <c r="I12" s="31" t="n"/>
      <c r="J12" s="32" t="n"/>
      <c r="K12" s="28" t="n"/>
      <c r="L12" s="30" t="n"/>
      <c r="M12" s="31" t="n"/>
      <c r="N12" s="32" t="n"/>
      <c r="O12" s="28" t="n"/>
      <c r="P12" s="30" t="n"/>
      <c r="Q12" s="30" t="n"/>
      <c r="R12" s="30" t="n"/>
      <c r="S12" s="30" t="n"/>
      <c r="T12" s="30" t="n"/>
      <c r="U12" s="30" t="n"/>
      <c r="V12" s="30" t="n"/>
      <c r="W12" s="30" t="n"/>
      <c r="X12" s="30" t="n"/>
      <c r="Y12" s="30" t="n"/>
      <c r="Z12" s="14">
        <f>IF(COUNT(P12:Y12)=10,((P12+R12+T12+V12+X12-5)+(25-Q12-S12-U12-W12-Y12))*2.5,"")</f>
        <v/>
      </c>
      <c r="AA12" s="11">
        <f>IF($A12="","",(D12&lt;&gt;"")+(H12&lt;&gt;"")+(L12&lt;&gt;""))</f>
        <v/>
      </c>
      <c r="AB12" s="11">
        <f>IF($A12="","",(D12="Cumple")+(H12="Cumple")+(L12="Cumple"))</f>
        <v/>
      </c>
      <c r="AC12" s="13">
        <f>IF($A12="","",IF(AA12=0,"",AB12/AA12))</f>
        <v/>
      </c>
      <c r="AD12" s="11">
        <f>IF($A12="","",N(G12)+N(K12)+N(O12))</f>
        <v/>
      </c>
      <c r="AE12" s="14">
        <f>IF($A12="","",IF(COUNT(F12,J12,N12)=0,"",AVERAGE(F12,J12,N12)))</f>
        <v/>
      </c>
      <c r="AF12" s="28" t="n"/>
    </row>
    <row r="13">
      <c r="A13" s="28" t="n"/>
      <c r="B13" s="29" t="n"/>
      <c r="C13" s="28" t="n"/>
      <c r="D13" s="30" t="n"/>
      <c r="E13" s="31" t="n"/>
      <c r="F13" s="32" t="n"/>
      <c r="G13" s="28" t="n"/>
      <c r="H13" s="30" t="n"/>
      <c r="I13" s="31" t="n"/>
      <c r="J13" s="32" t="n"/>
      <c r="K13" s="28" t="n"/>
      <c r="L13" s="30" t="n"/>
      <c r="M13" s="31" t="n"/>
      <c r="N13" s="32" t="n"/>
      <c r="O13" s="28" t="n"/>
      <c r="P13" s="30" t="n"/>
      <c r="Q13" s="30" t="n"/>
      <c r="R13" s="30" t="n"/>
      <c r="S13" s="30" t="n"/>
      <c r="T13" s="30" t="n"/>
      <c r="U13" s="30" t="n"/>
      <c r="V13" s="30" t="n"/>
      <c r="W13" s="30" t="n"/>
      <c r="X13" s="30" t="n"/>
      <c r="Y13" s="30" t="n"/>
      <c r="Z13" s="14">
        <f>IF(COUNT(P13:Y13)=10,((P13+R13+T13+V13+X13-5)+(25-Q13-S13-U13-W13-Y13))*2.5,"")</f>
        <v/>
      </c>
      <c r="AA13" s="11">
        <f>IF($A13="","",(D13&lt;&gt;"")+(H13&lt;&gt;"")+(L13&lt;&gt;""))</f>
        <v/>
      </c>
      <c r="AB13" s="11">
        <f>IF($A13="","",(D13="Cumple")+(H13="Cumple")+(L13="Cumple"))</f>
        <v/>
      </c>
      <c r="AC13" s="13">
        <f>IF($A13="","",IF(AA13=0,"",AB13/AA13))</f>
        <v/>
      </c>
      <c r="AD13" s="11">
        <f>IF($A13="","",N(G13)+N(K13)+N(O13))</f>
        <v/>
      </c>
      <c r="AE13" s="14">
        <f>IF($A13="","",IF(COUNT(F13,J13,N13)=0,"",AVERAGE(F13,J13,N13)))</f>
        <v/>
      </c>
      <c r="AF13" s="28" t="n"/>
    </row>
    <row r="14">
      <c r="A14" s="28" t="n"/>
      <c r="B14" s="29" t="n"/>
      <c r="C14" s="28" t="n"/>
      <c r="D14" s="30" t="n"/>
      <c r="E14" s="31" t="n"/>
      <c r="F14" s="32" t="n"/>
      <c r="G14" s="28" t="n"/>
      <c r="H14" s="30" t="n"/>
      <c r="I14" s="31" t="n"/>
      <c r="J14" s="32" t="n"/>
      <c r="K14" s="28" t="n"/>
      <c r="L14" s="30" t="n"/>
      <c r="M14" s="31" t="n"/>
      <c r="N14" s="32" t="n"/>
      <c r="O14" s="28" t="n"/>
      <c r="P14" s="30" t="n"/>
      <c r="Q14" s="30" t="n"/>
      <c r="R14" s="30" t="n"/>
      <c r="S14" s="30" t="n"/>
      <c r="T14" s="30" t="n"/>
      <c r="U14" s="30" t="n"/>
      <c r="V14" s="30" t="n"/>
      <c r="W14" s="30" t="n"/>
      <c r="X14" s="30" t="n"/>
      <c r="Y14" s="30" t="n"/>
      <c r="Z14" s="14">
        <f>IF(COUNT(P14:Y14)=10,((P14+R14+T14+V14+X14-5)+(25-Q14-S14-U14-W14-Y14))*2.5,"")</f>
        <v/>
      </c>
      <c r="AA14" s="11">
        <f>IF($A14="","",(D14&lt;&gt;"")+(H14&lt;&gt;"")+(L14&lt;&gt;""))</f>
        <v/>
      </c>
      <c r="AB14" s="11">
        <f>IF($A14="","",(D14="Cumple")+(H14="Cumple")+(L14="Cumple"))</f>
        <v/>
      </c>
      <c r="AC14" s="13">
        <f>IF($A14="","",IF(AA14=0,"",AB14/AA14))</f>
        <v/>
      </c>
      <c r="AD14" s="11">
        <f>IF($A14="","",N(G14)+N(K14)+N(O14))</f>
        <v/>
      </c>
      <c r="AE14" s="14">
        <f>IF($A14="","",IF(COUNT(F14,J14,N14)=0,"",AVERAGE(F14,J14,N14)))</f>
        <v/>
      </c>
      <c r="AF14" s="28" t="n"/>
    </row>
    <row r="15">
      <c r="A15" s="28" t="n"/>
      <c r="B15" s="29" t="n"/>
      <c r="C15" s="28" t="n"/>
      <c r="D15" s="30" t="n"/>
      <c r="E15" s="31" t="n"/>
      <c r="F15" s="32" t="n"/>
      <c r="G15" s="28" t="n"/>
      <c r="H15" s="30" t="n"/>
      <c r="I15" s="31" t="n"/>
      <c r="J15" s="32" t="n"/>
      <c r="K15" s="28" t="n"/>
      <c r="L15" s="30" t="n"/>
      <c r="M15" s="31" t="n"/>
      <c r="N15" s="32" t="n"/>
      <c r="O15" s="28" t="n"/>
      <c r="P15" s="30" t="n"/>
      <c r="Q15" s="30" t="n"/>
      <c r="R15" s="30" t="n"/>
      <c r="S15" s="30" t="n"/>
      <c r="T15" s="30" t="n"/>
      <c r="U15" s="30" t="n"/>
      <c r="V15" s="30" t="n"/>
      <c r="W15" s="30" t="n"/>
      <c r="X15" s="30" t="n"/>
      <c r="Y15" s="30" t="n"/>
      <c r="Z15" s="14">
        <f>IF(COUNT(P15:Y15)=10,((P15+R15+T15+V15+X15-5)+(25-Q15-S15-U15-W15-Y15))*2.5,"")</f>
        <v/>
      </c>
      <c r="AA15" s="11">
        <f>IF($A15="","",(D15&lt;&gt;"")+(H15&lt;&gt;"")+(L15&lt;&gt;""))</f>
        <v/>
      </c>
      <c r="AB15" s="11">
        <f>IF($A15="","",(D15="Cumple")+(H15="Cumple")+(L15="Cumple"))</f>
        <v/>
      </c>
      <c r="AC15" s="13">
        <f>IF($A15="","",IF(AA15=0,"",AB15/AA15))</f>
        <v/>
      </c>
      <c r="AD15" s="11">
        <f>IF($A15="","",N(G15)+N(K15)+N(O15))</f>
        <v/>
      </c>
      <c r="AE15" s="14">
        <f>IF($A15="","",IF(COUNT(F15,J15,N15)=0,"",AVERAGE(F15,J15,N15)))</f>
        <v/>
      </c>
      <c r="AF15" s="28" t="n"/>
    </row>
    <row r="16">
      <c r="A16" s="28" t="n"/>
      <c r="B16" s="29" t="n"/>
      <c r="C16" s="28" t="n"/>
      <c r="D16" s="30" t="n"/>
      <c r="E16" s="31" t="n"/>
      <c r="F16" s="32" t="n"/>
      <c r="G16" s="28" t="n"/>
      <c r="H16" s="30" t="n"/>
      <c r="I16" s="31" t="n"/>
      <c r="J16" s="32" t="n"/>
      <c r="K16" s="28" t="n"/>
      <c r="L16" s="30" t="n"/>
      <c r="M16" s="31" t="n"/>
      <c r="N16" s="32" t="n"/>
      <c r="O16" s="28" t="n"/>
      <c r="P16" s="30" t="n"/>
      <c r="Q16" s="30" t="n"/>
      <c r="R16" s="30" t="n"/>
      <c r="S16" s="30" t="n"/>
      <c r="T16" s="30" t="n"/>
      <c r="U16" s="30" t="n"/>
      <c r="V16" s="30" t="n"/>
      <c r="W16" s="30" t="n"/>
      <c r="X16" s="30" t="n"/>
      <c r="Y16" s="30" t="n"/>
      <c r="Z16" s="14">
        <f>IF(COUNT(P16:Y16)=10,((P16+R16+T16+V16+X16-5)+(25-Q16-S16-U16-W16-Y16))*2.5,"")</f>
        <v/>
      </c>
      <c r="AA16" s="11">
        <f>IF($A16="","",(D16&lt;&gt;"")+(H16&lt;&gt;"")+(L16&lt;&gt;""))</f>
        <v/>
      </c>
      <c r="AB16" s="11">
        <f>IF($A16="","",(D16="Cumple")+(H16="Cumple")+(L16="Cumple"))</f>
        <v/>
      </c>
      <c r="AC16" s="13">
        <f>IF($A16="","",IF(AA16=0,"",AB16/AA16))</f>
        <v/>
      </c>
      <c r="AD16" s="11">
        <f>IF($A16="","",N(G16)+N(K16)+N(O16))</f>
        <v/>
      </c>
      <c r="AE16" s="14">
        <f>IF($A16="","",IF(COUNT(F16,J16,N16)=0,"",AVERAGE(F16,J16,N16)))</f>
        <v/>
      </c>
      <c r="AF16" s="28" t="n"/>
    </row>
    <row r="17">
      <c r="A17" s="28" t="n"/>
      <c r="B17" s="29" t="n"/>
      <c r="C17" s="28" t="n"/>
      <c r="D17" s="30" t="n"/>
      <c r="E17" s="31" t="n"/>
      <c r="F17" s="32" t="n"/>
      <c r="G17" s="28" t="n"/>
      <c r="H17" s="30" t="n"/>
      <c r="I17" s="31" t="n"/>
      <c r="J17" s="32" t="n"/>
      <c r="K17" s="28" t="n"/>
      <c r="L17" s="30" t="n"/>
      <c r="M17" s="31" t="n"/>
      <c r="N17" s="32" t="n"/>
      <c r="O17" s="28" t="n"/>
      <c r="P17" s="30" t="n"/>
      <c r="Q17" s="30" t="n"/>
      <c r="R17" s="30" t="n"/>
      <c r="S17" s="30" t="n"/>
      <c r="T17" s="30" t="n"/>
      <c r="U17" s="30" t="n"/>
      <c r="V17" s="30" t="n"/>
      <c r="W17" s="30" t="n"/>
      <c r="X17" s="30" t="n"/>
      <c r="Y17" s="30" t="n"/>
      <c r="Z17" s="14">
        <f>IF(COUNT(P17:Y17)=10,((P17+R17+T17+V17+X17-5)+(25-Q17-S17-U17-W17-Y17))*2.5,"")</f>
        <v/>
      </c>
      <c r="AA17" s="11">
        <f>IF($A17="","",(D17&lt;&gt;"")+(H17&lt;&gt;"")+(L17&lt;&gt;""))</f>
        <v/>
      </c>
      <c r="AB17" s="11">
        <f>IF($A17="","",(D17="Cumple")+(H17="Cumple")+(L17="Cumple"))</f>
        <v/>
      </c>
      <c r="AC17" s="13">
        <f>IF($A17="","",IF(AA17=0,"",AB17/AA17))</f>
        <v/>
      </c>
      <c r="AD17" s="11">
        <f>IF($A17="","",N(G17)+N(K17)+N(O17))</f>
        <v/>
      </c>
      <c r="AE17" s="14">
        <f>IF($A17="","",IF(COUNT(F17,J17,N17)=0,"",AVERAGE(F17,J17,N17)))</f>
        <v/>
      </c>
      <c r="AF17" s="28" t="n"/>
    </row>
    <row r="18">
      <c r="A18" s="28" t="n"/>
      <c r="B18" s="29" t="n"/>
      <c r="C18" s="28" t="n"/>
      <c r="D18" s="30" t="n"/>
      <c r="E18" s="31" t="n"/>
      <c r="F18" s="32" t="n"/>
      <c r="G18" s="28" t="n"/>
      <c r="H18" s="30" t="n"/>
      <c r="I18" s="31" t="n"/>
      <c r="J18" s="32" t="n"/>
      <c r="K18" s="28" t="n"/>
      <c r="L18" s="30" t="n"/>
      <c r="M18" s="31" t="n"/>
      <c r="N18" s="32" t="n"/>
      <c r="O18" s="28" t="n"/>
      <c r="P18" s="30" t="n"/>
      <c r="Q18" s="30" t="n"/>
      <c r="R18" s="30" t="n"/>
      <c r="S18" s="30" t="n"/>
      <c r="T18" s="30" t="n"/>
      <c r="U18" s="30" t="n"/>
      <c r="V18" s="30" t="n"/>
      <c r="W18" s="30" t="n"/>
      <c r="X18" s="30" t="n"/>
      <c r="Y18" s="30" t="n"/>
      <c r="Z18" s="14">
        <f>IF(COUNT(P18:Y18)=10,((P18+R18+T18+V18+X18-5)+(25-Q18-S18-U18-W18-Y18))*2.5,"")</f>
        <v/>
      </c>
      <c r="AA18" s="11">
        <f>IF($A18="","",(D18&lt;&gt;"")+(H18&lt;&gt;"")+(L18&lt;&gt;""))</f>
        <v/>
      </c>
      <c r="AB18" s="11">
        <f>IF($A18="","",(D18="Cumple")+(H18="Cumple")+(L18="Cumple"))</f>
        <v/>
      </c>
      <c r="AC18" s="13">
        <f>IF($A18="","",IF(AA18=0,"",AB18/AA18))</f>
        <v/>
      </c>
      <c r="AD18" s="11">
        <f>IF($A18="","",N(G18)+N(K18)+N(O18))</f>
        <v/>
      </c>
      <c r="AE18" s="14">
        <f>IF($A18="","",IF(COUNT(F18,J18,N18)=0,"",AVERAGE(F18,J18,N18)))</f>
        <v/>
      </c>
      <c r="AF18" s="28" t="n"/>
    </row>
    <row r="19">
      <c r="A19" s="28" t="n"/>
      <c r="B19" s="29" t="n"/>
      <c r="C19" s="28" t="n"/>
      <c r="D19" s="30" t="n"/>
      <c r="E19" s="31" t="n"/>
      <c r="F19" s="32" t="n"/>
      <c r="G19" s="28" t="n"/>
      <c r="H19" s="30" t="n"/>
      <c r="I19" s="31" t="n"/>
      <c r="J19" s="32" t="n"/>
      <c r="K19" s="28" t="n"/>
      <c r="L19" s="30" t="n"/>
      <c r="M19" s="31" t="n"/>
      <c r="N19" s="32" t="n"/>
      <c r="O19" s="28" t="n"/>
      <c r="P19" s="30" t="n"/>
      <c r="Q19" s="30" t="n"/>
      <c r="R19" s="30" t="n"/>
      <c r="S19" s="30" t="n"/>
      <c r="T19" s="30" t="n"/>
      <c r="U19" s="30" t="n"/>
      <c r="V19" s="30" t="n"/>
      <c r="W19" s="30" t="n"/>
      <c r="X19" s="30" t="n"/>
      <c r="Y19" s="30" t="n"/>
      <c r="Z19" s="14">
        <f>IF(COUNT(P19:Y19)=10,((P19+R19+T19+V19+X19-5)+(25-Q19-S19-U19-W19-Y19))*2.5,"")</f>
        <v/>
      </c>
      <c r="AA19" s="11">
        <f>IF($A19="","",(D19&lt;&gt;"")+(H19&lt;&gt;"")+(L19&lt;&gt;""))</f>
        <v/>
      </c>
      <c r="AB19" s="11">
        <f>IF($A19="","",(D19="Cumple")+(H19="Cumple")+(L19="Cumple"))</f>
        <v/>
      </c>
      <c r="AC19" s="13">
        <f>IF($A19="","",IF(AA19=0,"",AB19/AA19))</f>
        <v/>
      </c>
      <c r="AD19" s="11">
        <f>IF($A19="","",N(G19)+N(K19)+N(O19))</f>
        <v/>
      </c>
      <c r="AE19" s="14">
        <f>IF($A19="","",IF(COUNT(F19,J19,N19)=0,"",AVERAGE(F19,J19,N19)))</f>
        <v/>
      </c>
      <c r="AF19" s="28" t="n"/>
    </row>
    <row r="20">
      <c r="A20" s="28" t="n"/>
      <c r="B20" s="29" t="n"/>
      <c r="C20" s="28" t="n"/>
      <c r="D20" s="30" t="n"/>
      <c r="E20" s="31" t="n"/>
      <c r="F20" s="32" t="n"/>
      <c r="G20" s="28" t="n"/>
      <c r="H20" s="30" t="n"/>
      <c r="I20" s="31" t="n"/>
      <c r="J20" s="32" t="n"/>
      <c r="K20" s="28" t="n"/>
      <c r="L20" s="30" t="n"/>
      <c r="M20" s="31" t="n"/>
      <c r="N20" s="32" t="n"/>
      <c r="O20" s="28" t="n"/>
      <c r="P20" s="30" t="n"/>
      <c r="Q20" s="30" t="n"/>
      <c r="R20" s="30" t="n"/>
      <c r="S20" s="30" t="n"/>
      <c r="T20" s="30" t="n"/>
      <c r="U20" s="30" t="n"/>
      <c r="V20" s="30" t="n"/>
      <c r="W20" s="30" t="n"/>
      <c r="X20" s="30" t="n"/>
      <c r="Y20" s="30" t="n"/>
      <c r="Z20" s="14">
        <f>IF(COUNT(P20:Y20)=10,((P20+R20+T20+V20+X20-5)+(25-Q20-S20-U20-W20-Y20))*2.5,"")</f>
        <v/>
      </c>
      <c r="AA20" s="11">
        <f>IF($A20="","",(D20&lt;&gt;"")+(H20&lt;&gt;"")+(L20&lt;&gt;""))</f>
        <v/>
      </c>
      <c r="AB20" s="11">
        <f>IF($A20="","",(D20="Cumple")+(H20="Cumple")+(L20="Cumple"))</f>
        <v/>
      </c>
      <c r="AC20" s="13">
        <f>IF($A20="","",IF(AA20=0,"",AB20/AA20))</f>
        <v/>
      </c>
      <c r="AD20" s="11">
        <f>IF($A20="","",N(G20)+N(K20)+N(O20))</f>
        <v/>
      </c>
      <c r="AE20" s="14">
        <f>IF($A20="","",IF(COUNT(F20,J20,N20)=0,"",AVERAGE(F20,J20,N20)))</f>
        <v/>
      </c>
      <c r="AF20" s="28" t="n"/>
    </row>
  </sheetData>
  <mergeCells count="9">
    <mergeCell ref="C5:L5"/>
    <mergeCell ref="P8:Y8"/>
    <mergeCell ref="L8:O8"/>
    <mergeCell ref="H8:K8"/>
    <mergeCell ref="C4:L4"/>
    <mergeCell ref="D8:G8"/>
    <mergeCell ref="C3:L3"/>
    <mergeCell ref="C6:L6"/>
    <mergeCell ref="Z8:AE8"/>
  </mergeCells>
  <dataValidations count="3">
    <dataValidation sqref="D10 D11 D12 D13 D14 D15 D16 D17 D18 D19 D20 H10 H11 H12 H13 H14 H15 H16 H17 H18 H19 H20 L10 L11 L12 L13 L14 L15 L16 L17 L18 L19 L20" showDropDown="0" showInputMessage="0" showErrorMessage="0" allowBlank="1" type="list">
      <formula1>"Cumple,Con ayuda,No cumple"</formula1>
    </dataValidation>
    <dataValidation sqref="P10 P11 P12 P13 P14 P15 P16 P17 P18 P19 P20 Q10 Q11 Q12 Q13 Q14 Q15 Q16 Q17 Q18 Q19 Q20 R10 R11 R12 R13 R14 R15 R16 R17 R18 R19 R20 S10 S11 S12 S13 S14 S15 S16 S17 S18 S19 S20 T10 T11 T12 T13 T14 T15 T16 T17 T18 T19 T20 U10 U11 U12 U13 U14 U15 U16 U17 U18 U19 U20 V10 V11 V12 V13 V14 V15 V16 V17 V18 V19 V20 W10 W11 W12 W13 W14 W15 W16 W17 W18 W19 W20 X10 X11 X12 X13 X14 X15 X16 X17 X18 X19 X20 Y10 Y11 Y12 Y13 Y14 Y15 Y16 Y17 Y18 Y19 Y20" showDropDown="0" showInputMessage="0" showErrorMessage="1" allowBlank="1" error="Respuesta del 1 al 5" type="whole" operator="between">
      <formula1>1</formula1>
      <formula2>5</formula2>
    </dataValidation>
    <dataValidation sqref="F10 F11 F12 F13 F14 F15 F16 F17 F18 F19 F20 G10 G11 G12 G13 G14 G15 G16 G17 G18 G19 G20 J10 J11 J12 J13 J14 J15 J16 J17 J18 J19 J20 K10 K11 K12 K13 K14 K15 K16 K17 K18 K19 K20 N10 N11 N12 N13 N14 N15 N16 N17 N18 N19 N20 O10 O11 O12 O13 O14 O15 O16 O17 O18 O19 O20" showDropDown="0" showInputMessage="0" showErrorMessage="0" allowBlank="1"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11" customWidth="1" min="22" max="22"/>
    <col width="11" customWidth="1" min="23" max="23"/>
    <col width="11" customWidth="1" min="24" max="24"/>
    <col width="11" customWidth="1" min="25" max="25"/>
    <col width="11" customWidth="1" min="26" max="26"/>
    <col width="11" customWidth="1" min="27" max="27"/>
    <col width="40" customWidth="1" min="28" max="28"/>
  </cols>
  <sheetData>
    <row r="1">
      <c r="A1" s="18" t="inlineStr">
        <is>
          <t>Rol 2 · casos de prueba</t>
        </is>
      </c>
    </row>
    <row r="3">
      <c r="A3" s="19" t="inlineStr">
        <is>
          <t>Caso</t>
        </is>
      </c>
      <c r="B3" s="19" t="inlineStr">
        <is>
          <t>Tarea</t>
        </is>
      </c>
      <c r="C3" s="19" t="inlineStr">
        <is>
          <t>Resultado esperado</t>
        </is>
      </c>
    </row>
    <row r="4" ht="30" customHeight="1">
      <c r="A4" s="6" t="inlineStr">
        <is>
          <t>R2-01</t>
        </is>
      </c>
      <c r="B4" s="5" t="inlineStr">
        <is>
          <t>[Flujo completo] &lt;Tarea&gt;</t>
        </is>
      </c>
      <c r="C4" s="5" t="inlineStr">
        <is>
          <t>&lt;Resultado esperado&gt;</t>
        </is>
      </c>
    </row>
    <row r="5" ht="30" customHeight="1">
      <c r="A5" s="6" t="inlineStr">
        <is>
          <t>R2-02</t>
        </is>
      </c>
      <c r="B5" s="5" t="inlineStr">
        <is>
          <t>&lt;Tarea&gt;</t>
        </is>
      </c>
      <c r="C5" s="5" t="inlineStr">
        <is>
          <t>&lt;Resultado esperado&gt;</t>
        </is>
      </c>
    </row>
    <row r="7">
      <c r="A7" s="9" t="n"/>
      <c r="B7" s="9" t="n"/>
      <c r="C7" s="9" t="n"/>
      <c r="D7" s="9" t="inlineStr">
        <is>
          <t>R2-01</t>
        </is>
      </c>
      <c r="E7" s="9" t="n"/>
      <c r="F7" s="9" t="n"/>
      <c r="G7" s="9" t="n"/>
      <c r="H7" s="9" t="inlineStr">
        <is>
          <t>R2-02</t>
        </is>
      </c>
      <c r="I7" s="9" t="n"/>
      <c r="J7" s="9" t="n"/>
      <c r="K7" s="9" t="n"/>
      <c r="L7" s="9" t="inlineStr">
        <is>
          <t>SUS (1 a 5)</t>
        </is>
      </c>
      <c r="M7" s="9" t="n"/>
      <c r="N7" s="9" t="n"/>
      <c r="O7" s="9" t="n"/>
      <c r="P7" s="9" t="n"/>
      <c r="Q7" s="9" t="n"/>
      <c r="R7" s="9" t="n"/>
      <c r="S7" s="9" t="n"/>
      <c r="T7" s="9" t="n"/>
      <c r="U7" s="9" t="n"/>
      <c r="V7" s="9" t="inlineStr">
        <is>
          <t>Calculado (no editar)</t>
        </is>
      </c>
      <c r="W7" s="9" t="n"/>
      <c r="X7" s="9" t="n"/>
      <c r="Y7" s="9" t="n"/>
      <c r="Z7" s="9" t="n"/>
      <c r="AA7" s="9" t="n"/>
      <c r="AB7" s="9" t="n"/>
    </row>
    <row r="8" ht="30" customHeight="1">
      <c r="A8" s="16" t="inlineStr">
        <is>
          <t>Participante (código)</t>
        </is>
      </c>
      <c r="B8" s="16" t="inlineStr">
        <is>
          <t>Fecha</t>
        </is>
      </c>
      <c r="C8" s="16" t="inlineStr">
        <is>
          <t>Archivo de video</t>
        </is>
      </c>
      <c r="D8" s="16" t="inlineStr">
        <is>
          <t>Resultado</t>
        </is>
      </c>
      <c r="E8" s="16" t="inlineStr">
        <is>
          <t>Minuto en video</t>
        </is>
      </c>
      <c r="F8" s="16" t="inlineStr">
        <is>
          <t>Tiempo (min)</t>
        </is>
      </c>
      <c r="G8" s="16" t="inlineStr">
        <is>
          <t>Errores</t>
        </is>
      </c>
      <c r="H8" s="16" t="inlineStr">
        <is>
          <t>Resultado</t>
        </is>
      </c>
      <c r="I8" s="16" t="inlineStr">
        <is>
          <t>Minuto en video</t>
        </is>
      </c>
      <c r="J8" s="16" t="inlineStr">
        <is>
          <t>Tiempo (min)</t>
        </is>
      </c>
      <c r="K8" s="16" t="inlineStr">
        <is>
          <t>Errores</t>
        </is>
      </c>
      <c r="L8" s="16" t="inlineStr">
        <is>
          <t>P1</t>
        </is>
      </c>
      <c r="M8" s="16" t="inlineStr">
        <is>
          <t>P2</t>
        </is>
      </c>
      <c r="N8" s="16" t="inlineStr">
        <is>
          <t>P3</t>
        </is>
      </c>
      <c r="O8" s="16" t="inlineStr">
        <is>
          <t>P4</t>
        </is>
      </c>
      <c r="P8" s="16" t="inlineStr">
        <is>
          <t>P5</t>
        </is>
      </c>
      <c r="Q8" s="16" t="inlineStr">
        <is>
          <t>P6</t>
        </is>
      </c>
      <c r="R8" s="16" t="inlineStr">
        <is>
          <t>P7</t>
        </is>
      </c>
      <c r="S8" s="16" t="inlineStr">
        <is>
          <t>P8</t>
        </is>
      </c>
      <c r="T8" s="16" t="inlineStr">
        <is>
          <t>P9</t>
        </is>
      </c>
      <c r="U8" s="16" t="inlineStr">
        <is>
          <t>P10</t>
        </is>
      </c>
      <c r="V8" s="16" t="inlineStr">
        <is>
          <t>Puntaje SUS</t>
        </is>
      </c>
      <c r="W8" s="16" t="inlineStr">
        <is>
          <t>Casos intentados</t>
        </is>
      </c>
      <c r="X8" s="16" t="inlineStr">
        <is>
          <t>Casos en Cumple</t>
        </is>
      </c>
      <c r="Y8" s="16" t="inlineStr">
        <is>
          <t>Éxito de tareas</t>
        </is>
      </c>
      <c r="Z8" s="16" t="inlineStr">
        <is>
          <t>Errores totales</t>
        </is>
      </c>
      <c r="AA8" s="16" t="inlineStr">
        <is>
          <t>Tiempo promedio por caso (min)</t>
        </is>
      </c>
      <c r="AB8" s="16" t="inlineStr">
        <is>
          <t>Observaciones</t>
        </is>
      </c>
    </row>
    <row r="9">
      <c r="A9" s="20" t="inlineStr">
        <is>
          <t>EJEMPLO</t>
        </is>
      </c>
      <c r="B9" s="21" t="n">
        <v>46037</v>
      </c>
      <c r="C9" s="20" t="inlineStr">
        <is>
          <t>R2-01.mp4</t>
        </is>
      </c>
      <c r="D9" s="22" t="inlineStr">
        <is>
          <t>Cumple</t>
        </is>
      </c>
      <c r="E9" s="23" t="inlineStr">
        <is>
          <t>01:00</t>
        </is>
      </c>
      <c r="F9" s="24" t="n">
        <v>1.5</v>
      </c>
      <c r="G9" s="20" t="n">
        <v>0</v>
      </c>
      <c r="H9" s="22" t="inlineStr">
        <is>
          <t>Con ayuda</t>
        </is>
      </c>
      <c r="I9" s="23" t="inlineStr">
        <is>
          <t>04:17</t>
        </is>
      </c>
      <c r="J9" s="24" t="n">
        <v>2.2</v>
      </c>
      <c r="K9" s="20" t="n">
        <v>1</v>
      </c>
      <c r="L9" s="22" t="n">
        <v>4</v>
      </c>
      <c r="M9" s="22" t="n">
        <v>2</v>
      </c>
      <c r="N9" s="22" t="n">
        <v>4</v>
      </c>
      <c r="O9" s="22" t="n">
        <v>1</v>
      </c>
      <c r="P9" s="22" t="n">
        <v>4</v>
      </c>
      <c r="Q9" s="22" t="n">
        <v>2</v>
      </c>
      <c r="R9" s="22" t="n">
        <v>5</v>
      </c>
      <c r="S9" s="22" t="n">
        <v>1</v>
      </c>
      <c r="T9" s="22" t="n">
        <v>4</v>
      </c>
      <c r="U9" s="22" t="n">
        <v>2</v>
      </c>
      <c r="V9" s="25">
        <f>IF(COUNT(L9:U9)=10,((L9+N9+P9+R9+T9-5)+(25-M9-O9-Q9-S9-U9))*2.5,"")</f>
        <v/>
      </c>
      <c r="W9" s="26">
        <f>IF($A9="","",(D9&lt;&gt;"")+(H9&lt;&gt;""))</f>
        <v/>
      </c>
      <c r="X9" s="26">
        <f>IF($A9="","",(D9="Cumple")+(H9="Cumple"))</f>
        <v/>
      </c>
      <c r="Y9" s="27">
        <f>IF($A9="","",IF(W9=0,"",X9/W9))</f>
        <v/>
      </c>
      <c r="Z9" s="26">
        <f>IF($A9="","",N(G9)+N(K9))</f>
        <v/>
      </c>
      <c r="AA9" s="25">
        <f>IF($A9="","",IF(COUNT(F9,J9)=0,"",AVERAGE(F9,J9)))</f>
        <v/>
      </c>
      <c r="AB9" s="20" t="inlineStr">
        <is>
          <t>Fila de ejemplo: no cuenta en el resumen</t>
        </is>
      </c>
    </row>
    <row r="10">
      <c r="A10" s="28" t="n"/>
      <c r="B10" s="29" t="n"/>
      <c r="C10" s="28" t="n"/>
      <c r="D10" s="30" t="n"/>
      <c r="E10" s="31" t="n"/>
      <c r="F10" s="32" t="n"/>
      <c r="G10" s="28" t="n"/>
      <c r="H10" s="30" t="n"/>
      <c r="I10" s="31" t="n"/>
      <c r="J10" s="32" t="n"/>
      <c r="K10" s="28" t="n"/>
      <c r="L10" s="30" t="n"/>
      <c r="M10" s="30" t="n"/>
      <c r="N10" s="30" t="n"/>
      <c r="O10" s="30" t="n"/>
      <c r="P10" s="30" t="n"/>
      <c r="Q10" s="30" t="n"/>
      <c r="R10" s="30" t="n"/>
      <c r="S10" s="30" t="n"/>
      <c r="T10" s="30" t="n"/>
      <c r="U10" s="30" t="n"/>
      <c r="V10" s="14">
        <f>IF(COUNT(L10:U10)=10,((L10+N10+P10+R10+T10-5)+(25-M10-O10-Q10-S10-U10))*2.5,"")</f>
        <v/>
      </c>
      <c r="W10" s="11">
        <f>IF($A10="","",(D10&lt;&gt;"")+(H10&lt;&gt;""))</f>
        <v/>
      </c>
      <c r="X10" s="11">
        <f>IF($A10="","",(D10="Cumple")+(H10="Cumple"))</f>
        <v/>
      </c>
      <c r="Y10" s="13">
        <f>IF($A10="","",IF(W10=0,"",X10/W10))</f>
        <v/>
      </c>
      <c r="Z10" s="11">
        <f>IF($A10="","",N(G10)+N(K10))</f>
        <v/>
      </c>
      <c r="AA10" s="14">
        <f>IF($A10="","",IF(COUNT(F10,J10)=0,"",AVERAGE(F10,J10)))</f>
        <v/>
      </c>
      <c r="AB10" s="28" t="n"/>
    </row>
    <row r="11">
      <c r="A11" s="28" t="n"/>
      <c r="B11" s="29" t="n"/>
      <c r="C11" s="28" t="n"/>
      <c r="D11" s="30" t="n"/>
      <c r="E11" s="31" t="n"/>
      <c r="F11" s="32" t="n"/>
      <c r="G11" s="28" t="n"/>
      <c r="H11" s="30" t="n"/>
      <c r="I11" s="31" t="n"/>
      <c r="J11" s="32" t="n"/>
      <c r="K11" s="28" t="n"/>
      <c r="L11" s="30" t="n"/>
      <c r="M11" s="30" t="n"/>
      <c r="N11" s="30" t="n"/>
      <c r="O11" s="30" t="n"/>
      <c r="P11" s="30" t="n"/>
      <c r="Q11" s="30" t="n"/>
      <c r="R11" s="30" t="n"/>
      <c r="S11" s="30" t="n"/>
      <c r="T11" s="30" t="n"/>
      <c r="U11" s="30" t="n"/>
      <c r="V11" s="14">
        <f>IF(COUNT(L11:U11)=10,((L11+N11+P11+R11+T11-5)+(25-M11-O11-Q11-S11-U11))*2.5,"")</f>
        <v/>
      </c>
      <c r="W11" s="11">
        <f>IF($A11="","",(D11&lt;&gt;"")+(H11&lt;&gt;""))</f>
        <v/>
      </c>
      <c r="X11" s="11">
        <f>IF($A11="","",(D11="Cumple")+(H11="Cumple"))</f>
        <v/>
      </c>
      <c r="Y11" s="13">
        <f>IF($A11="","",IF(W11=0,"",X11/W11))</f>
        <v/>
      </c>
      <c r="Z11" s="11">
        <f>IF($A11="","",N(G11)+N(K11))</f>
        <v/>
      </c>
      <c r="AA11" s="14">
        <f>IF($A11="","",IF(COUNT(F11,J11)=0,"",AVERAGE(F11,J11)))</f>
        <v/>
      </c>
      <c r="AB11" s="28" t="n"/>
    </row>
    <row r="12">
      <c r="A12" s="28" t="n"/>
      <c r="B12" s="29" t="n"/>
      <c r="C12" s="28" t="n"/>
      <c r="D12" s="30" t="n"/>
      <c r="E12" s="31" t="n"/>
      <c r="F12" s="32" t="n"/>
      <c r="G12" s="28" t="n"/>
      <c r="H12" s="30" t="n"/>
      <c r="I12" s="31" t="n"/>
      <c r="J12" s="32" t="n"/>
      <c r="K12" s="28" t="n"/>
      <c r="L12" s="30" t="n"/>
      <c r="M12" s="30" t="n"/>
      <c r="N12" s="30" t="n"/>
      <c r="O12" s="30" t="n"/>
      <c r="P12" s="30" t="n"/>
      <c r="Q12" s="30" t="n"/>
      <c r="R12" s="30" t="n"/>
      <c r="S12" s="30" t="n"/>
      <c r="T12" s="30" t="n"/>
      <c r="U12" s="30" t="n"/>
      <c r="V12" s="14">
        <f>IF(COUNT(L12:U12)=10,((L12+N12+P12+R12+T12-5)+(25-M12-O12-Q12-S12-U12))*2.5,"")</f>
        <v/>
      </c>
      <c r="W12" s="11">
        <f>IF($A12="","",(D12&lt;&gt;"")+(H12&lt;&gt;""))</f>
        <v/>
      </c>
      <c r="X12" s="11">
        <f>IF($A12="","",(D12="Cumple")+(H12="Cumple"))</f>
        <v/>
      </c>
      <c r="Y12" s="13">
        <f>IF($A12="","",IF(W12=0,"",X12/W12))</f>
        <v/>
      </c>
      <c r="Z12" s="11">
        <f>IF($A12="","",N(G12)+N(K12))</f>
        <v/>
      </c>
      <c r="AA12" s="14">
        <f>IF($A12="","",IF(COUNT(F12,J12)=0,"",AVERAGE(F12,J12)))</f>
        <v/>
      </c>
      <c r="AB12" s="28" t="n"/>
    </row>
    <row r="13">
      <c r="A13" s="28" t="n"/>
      <c r="B13" s="29" t="n"/>
      <c r="C13" s="28" t="n"/>
      <c r="D13" s="30" t="n"/>
      <c r="E13" s="31" t="n"/>
      <c r="F13" s="32" t="n"/>
      <c r="G13" s="28" t="n"/>
      <c r="H13" s="30" t="n"/>
      <c r="I13" s="31" t="n"/>
      <c r="J13" s="32" t="n"/>
      <c r="K13" s="28" t="n"/>
      <c r="L13" s="30" t="n"/>
      <c r="M13" s="30" t="n"/>
      <c r="N13" s="30" t="n"/>
      <c r="O13" s="30" t="n"/>
      <c r="P13" s="30" t="n"/>
      <c r="Q13" s="30" t="n"/>
      <c r="R13" s="30" t="n"/>
      <c r="S13" s="30" t="n"/>
      <c r="T13" s="30" t="n"/>
      <c r="U13" s="30" t="n"/>
      <c r="V13" s="14">
        <f>IF(COUNT(L13:U13)=10,((L13+N13+P13+R13+T13-5)+(25-M13-O13-Q13-S13-U13))*2.5,"")</f>
        <v/>
      </c>
      <c r="W13" s="11">
        <f>IF($A13="","",(D13&lt;&gt;"")+(H13&lt;&gt;""))</f>
        <v/>
      </c>
      <c r="X13" s="11">
        <f>IF($A13="","",(D13="Cumple")+(H13="Cumple"))</f>
        <v/>
      </c>
      <c r="Y13" s="13">
        <f>IF($A13="","",IF(W13=0,"",X13/W13))</f>
        <v/>
      </c>
      <c r="Z13" s="11">
        <f>IF($A13="","",N(G13)+N(K13))</f>
        <v/>
      </c>
      <c r="AA13" s="14">
        <f>IF($A13="","",IF(COUNT(F13,J13)=0,"",AVERAGE(F13,J13)))</f>
        <v/>
      </c>
      <c r="AB13" s="28" t="n"/>
    </row>
    <row r="14">
      <c r="A14" s="28" t="n"/>
      <c r="B14" s="29" t="n"/>
      <c r="C14" s="28" t="n"/>
      <c r="D14" s="30" t="n"/>
      <c r="E14" s="31" t="n"/>
      <c r="F14" s="32" t="n"/>
      <c r="G14" s="28" t="n"/>
      <c r="H14" s="30" t="n"/>
      <c r="I14" s="31" t="n"/>
      <c r="J14" s="32" t="n"/>
      <c r="K14" s="28" t="n"/>
      <c r="L14" s="30" t="n"/>
      <c r="M14" s="30" t="n"/>
      <c r="N14" s="30" t="n"/>
      <c r="O14" s="30" t="n"/>
      <c r="P14" s="30" t="n"/>
      <c r="Q14" s="30" t="n"/>
      <c r="R14" s="30" t="n"/>
      <c r="S14" s="30" t="n"/>
      <c r="T14" s="30" t="n"/>
      <c r="U14" s="30" t="n"/>
      <c r="V14" s="14">
        <f>IF(COUNT(L14:U14)=10,((L14+N14+P14+R14+T14-5)+(25-M14-O14-Q14-S14-U14))*2.5,"")</f>
        <v/>
      </c>
      <c r="W14" s="11">
        <f>IF($A14="","",(D14&lt;&gt;"")+(H14&lt;&gt;""))</f>
        <v/>
      </c>
      <c r="X14" s="11">
        <f>IF($A14="","",(D14="Cumple")+(H14="Cumple"))</f>
        <v/>
      </c>
      <c r="Y14" s="13">
        <f>IF($A14="","",IF(W14=0,"",X14/W14))</f>
        <v/>
      </c>
      <c r="Z14" s="11">
        <f>IF($A14="","",N(G14)+N(K14))</f>
        <v/>
      </c>
      <c r="AA14" s="14">
        <f>IF($A14="","",IF(COUNT(F14,J14)=0,"",AVERAGE(F14,J14)))</f>
        <v/>
      </c>
      <c r="AB14" s="28" t="n"/>
    </row>
    <row r="15">
      <c r="A15" s="28" t="n"/>
      <c r="B15" s="29" t="n"/>
      <c r="C15" s="28" t="n"/>
      <c r="D15" s="30" t="n"/>
      <c r="E15" s="31" t="n"/>
      <c r="F15" s="32" t="n"/>
      <c r="G15" s="28" t="n"/>
      <c r="H15" s="30" t="n"/>
      <c r="I15" s="31" t="n"/>
      <c r="J15" s="32" t="n"/>
      <c r="K15" s="28" t="n"/>
      <c r="L15" s="30" t="n"/>
      <c r="M15" s="30" t="n"/>
      <c r="N15" s="30" t="n"/>
      <c r="O15" s="30" t="n"/>
      <c r="P15" s="30" t="n"/>
      <c r="Q15" s="30" t="n"/>
      <c r="R15" s="30" t="n"/>
      <c r="S15" s="30" t="n"/>
      <c r="T15" s="30" t="n"/>
      <c r="U15" s="30" t="n"/>
      <c r="V15" s="14">
        <f>IF(COUNT(L15:U15)=10,((L15+N15+P15+R15+T15-5)+(25-M15-O15-Q15-S15-U15))*2.5,"")</f>
        <v/>
      </c>
      <c r="W15" s="11">
        <f>IF($A15="","",(D15&lt;&gt;"")+(H15&lt;&gt;""))</f>
        <v/>
      </c>
      <c r="X15" s="11">
        <f>IF($A15="","",(D15="Cumple")+(H15="Cumple"))</f>
        <v/>
      </c>
      <c r="Y15" s="13">
        <f>IF($A15="","",IF(W15=0,"",X15/W15))</f>
        <v/>
      </c>
      <c r="Z15" s="11">
        <f>IF($A15="","",N(G15)+N(K15))</f>
        <v/>
      </c>
      <c r="AA15" s="14">
        <f>IF($A15="","",IF(COUNT(F15,J15)=0,"",AVERAGE(F15,J15)))</f>
        <v/>
      </c>
      <c r="AB15" s="28" t="n"/>
    </row>
    <row r="16">
      <c r="A16" s="28" t="n"/>
      <c r="B16" s="29" t="n"/>
      <c r="C16" s="28" t="n"/>
      <c r="D16" s="30" t="n"/>
      <c r="E16" s="31" t="n"/>
      <c r="F16" s="32" t="n"/>
      <c r="G16" s="28" t="n"/>
      <c r="H16" s="30" t="n"/>
      <c r="I16" s="31" t="n"/>
      <c r="J16" s="32" t="n"/>
      <c r="K16" s="28" t="n"/>
      <c r="L16" s="30" t="n"/>
      <c r="M16" s="30" t="n"/>
      <c r="N16" s="30" t="n"/>
      <c r="O16" s="30" t="n"/>
      <c r="P16" s="30" t="n"/>
      <c r="Q16" s="30" t="n"/>
      <c r="R16" s="30" t="n"/>
      <c r="S16" s="30" t="n"/>
      <c r="T16" s="30" t="n"/>
      <c r="U16" s="30" t="n"/>
      <c r="V16" s="14">
        <f>IF(COUNT(L16:U16)=10,((L16+N16+P16+R16+T16-5)+(25-M16-O16-Q16-S16-U16))*2.5,"")</f>
        <v/>
      </c>
      <c r="W16" s="11">
        <f>IF($A16="","",(D16&lt;&gt;"")+(H16&lt;&gt;""))</f>
        <v/>
      </c>
      <c r="X16" s="11">
        <f>IF($A16="","",(D16="Cumple")+(H16="Cumple"))</f>
        <v/>
      </c>
      <c r="Y16" s="13">
        <f>IF($A16="","",IF(W16=0,"",X16/W16))</f>
        <v/>
      </c>
      <c r="Z16" s="11">
        <f>IF($A16="","",N(G16)+N(K16))</f>
        <v/>
      </c>
      <c r="AA16" s="14">
        <f>IF($A16="","",IF(COUNT(F16,J16)=0,"",AVERAGE(F16,J16)))</f>
        <v/>
      </c>
      <c r="AB16" s="28" t="n"/>
    </row>
    <row r="17">
      <c r="A17" s="28" t="n"/>
      <c r="B17" s="29" t="n"/>
      <c r="C17" s="28" t="n"/>
      <c r="D17" s="30" t="n"/>
      <c r="E17" s="31" t="n"/>
      <c r="F17" s="32" t="n"/>
      <c r="G17" s="28" t="n"/>
      <c r="H17" s="30" t="n"/>
      <c r="I17" s="31" t="n"/>
      <c r="J17" s="32" t="n"/>
      <c r="K17" s="28" t="n"/>
      <c r="L17" s="30" t="n"/>
      <c r="M17" s="30" t="n"/>
      <c r="N17" s="30" t="n"/>
      <c r="O17" s="30" t="n"/>
      <c r="P17" s="30" t="n"/>
      <c r="Q17" s="30" t="n"/>
      <c r="R17" s="30" t="n"/>
      <c r="S17" s="30" t="n"/>
      <c r="T17" s="30" t="n"/>
      <c r="U17" s="30" t="n"/>
      <c r="V17" s="14">
        <f>IF(COUNT(L17:U17)=10,((L17+N17+P17+R17+T17-5)+(25-M17-O17-Q17-S17-U17))*2.5,"")</f>
        <v/>
      </c>
      <c r="W17" s="11">
        <f>IF($A17="","",(D17&lt;&gt;"")+(H17&lt;&gt;""))</f>
        <v/>
      </c>
      <c r="X17" s="11">
        <f>IF($A17="","",(D17="Cumple")+(H17="Cumple"))</f>
        <v/>
      </c>
      <c r="Y17" s="13">
        <f>IF($A17="","",IF(W17=0,"",X17/W17))</f>
        <v/>
      </c>
      <c r="Z17" s="11">
        <f>IF($A17="","",N(G17)+N(K17))</f>
        <v/>
      </c>
      <c r="AA17" s="14">
        <f>IF($A17="","",IF(COUNT(F17,J17)=0,"",AVERAGE(F17,J17)))</f>
        <v/>
      </c>
      <c r="AB17" s="28" t="n"/>
    </row>
    <row r="18">
      <c r="A18" s="28" t="n"/>
      <c r="B18" s="29" t="n"/>
      <c r="C18" s="28" t="n"/>
      <c r="D18" s="30" t="n"/>
      <c r="E18" s="31" t="n"/>
      <c r="F18" s="32" t="n"/>
      <c r="G18" s="28" t="n"/>
      <c r="H18" s="30" t="n"/>
      <c r="I18" s="31" t="n"/>
      <c r="J18" s="32" t="n"/>
      <c r="K18" s="28" t="n"/>
      <c r="L18" s="30" t="n"/>
      <c r="M18" s="30" t="n"/>
      <c r="N18" s="30" t="n"/>
      <c r="O18" s="30" t="n"/>
      <c r="P18" s="30" t="n"/>
      <c r="Q18" s="30" t="n"/>
      <c r="R18" s="30" t="n"/>
      <c r="S18" s="30" t="n"/>
      <c r="T18" s="30" t="n"/>
      <c r="U18" s="30" t="n"/>
      <c r="V18" s="14">
        <f>IF(COUNT(L18:U18)=10,((L18+N18+P18+R18+T18-5)+(25-M18-O18-Q18-S18-U18))*2.5,"")</f>
        <v/>
      </c>
      <c r="W18" s="11">
        <f>IF($A18="","",(D18&lt;&gt;"")+(H18&lt;&gt;""))</f>
        <v/>
      </c>
      <c r="X18" s="11">
        <f>IF($A18="","",(D18="Cumple")+(H18="Cumple"))</f>
        <v/>
      </c>
      <c r="Y18" s="13">
        <f>IF($A18="","",IF(W18=0,"",X18/W18))</f>
        <v/>
      </c>
      <c r="Z18" s="11">
        <f>IF($A18="","",N(G18)+N(K18))</f>
        <v/>
      </c>
      <c r="AA18" s="14">
        <f>IF($A18="","",IF(COUNT(F18,J18)=0,"",AVERAGE(F18,J18)))</f>
        <v/>
      </c>
      <c r="AB18" s="28" t="n"/>
    </row>
    <row r="19">
      <c r="A19" s="28" t="n"/>
      <c r="B19" s="29" t="n"/>
      <c r="C19" s="28" t="n"/>
      <c r="D19" s="30" t="n"/>
      <c r="E19" s="31" t="n"/>
      <c r="F19" s="32" t="n"/>
      <c r="G19" s="28" t="n"/>
      <c r="H19" s="30" t="n"/>
      <c r="I19" s="31" t="n"/>
      <c r="J19" s="32" t="n"/>
      <c r="K19" s="28" t="n"/>
      <c r="L19" s="30" t="n"/>
      <c r="M19" s="30" t="n"/>
      <c r="N19" s="30" t="n"/>
      <c r="O19" s="30" t="n"/>
      <c r="P19" s="30" t="n"/>
      <c r="Q19" s="30" t="n"/>
      <c r="R19" s="30" t="n"/>
      <c r="S19" s="30" t="n"/>
      <c r="T19" s="30" t="n"/>
      <c r="U19" s="30" t="n"/>
      <c r="V19" s="14">
        <f>IF(COUNT(L19:U19)=10,((L19+N19+P19+R19+T19-5)+(25-M19-O19-Q19-S19-U19))*2.5,"")</f>
        <v/>
      </c>
      <c r="W19" s="11">
        <f>IF($A19="","",(D19&lt;&gt;"")+(H19&lt;&gt;""))</f>
        <v/>
      </c>
      <c r="X19" s="11">
        <f>IF($A19="","",(D19="Cumple")+(H19="Cumple"))</f>
        <v/>
      </c>
      <c r="Y19" s="13">
        <f>IF($A19="","",IF(W19=0,"",X19/W19))</f>
        <v/>
      </c>
      <c r="Z19" s="11">
        <f>IF($A19="","",N(G19)+N(K19))</f>
        <v/>
      </c>
      <c r="AA19" s="14">
        <f>IF($A19="","",IF(COUNT(F19,J19)=0,"",AVERAGE(F19,J19)))</f>
        <v/>
      </c>
      <c r="AB19" s="28" t="n"/>
    </row>
  </sheetData>
  <mergeCells count="7">
    <mergeCell ref="C5:L5"/>
    <mergeCell ref="C4:L4"/>
    <mergeCell ref="C3:L3"/>
    <mergeCell ref="D7:G7"/>
    <mergeCell ref="H7:K7"/>
    <mergeCell ref="L7:U7"/>
    <mergeCell ref="V7:AA7"/>
  </mergeCells>
  <dataValidations count="3">
    <dataValidation sqref="D9 D10 D11 D12 D13 D14 D15 D16 D17 D18 D19 H9 H10 H11 H12 H13 H14 H15 H16 H17 H18 H19" showDropDown="0" showInputMessage="0" showErrorMessage="0" allowBlank="1" type="list">
      <formula1>"Cumple,Con ayuda,No cumple"</formula1>
    </dataValidation>
    <dataValidation sqref="L9 L10 L11 L12 L13 L14 L15 L16 L17 L18 L19 M9 M10 M11 M12 M13 M14 M15 M16 M17 M18 M19 N9 N10 N11 N12 N13 N14 N15 N16 N17 N18 N19 O9 O10 O11 O12 O13 O14 O15 O16 O17 O18 O19 P9 P10 P11 P12 P13 P14 P15 P16 P17 P18 P19 Q9 Q10 Q11 Q12 Q13 Q14 Q15 Q16 Q17 Q18 Q19 R9 R10 R11 R12 R13 R14 R15 R16 R17 R18 R19 S9 S10 S11 S12 S13 S14 S15 S16 S17 S18 S19 T9 T10 T11 T12 T13 T14 T15 T16 T17 T18 T19 U9 U10 U11 U12 U13 U14 U15 U16 U17 U18 U19" showDropDown="0" showInputMessage="0" showErrorMessage="1" allowBlank="1" error="Respuesta del 1 al 5" type="whole" operator="between">
      <formula1>1</formula1>
      <formula2>5</formula2>
    </dataValidation>
    <dataValidation sqref="F9 F10 F11 F12 F13 F14 F15 F16 F17 F18 F19 G9 G10 G11 G12 G13 G14 G15 G16 G17 G18 G19 J9 J10 J11 J12 J13 J14 J15 J16 J17 J18 J19 K9 K10 K11 K12 K13 K14 K15 K16 K17 K18 K19" showDropDown="0" showInputMessage="0" showErrorMessage="0" allowBlank="1"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11" customWidth="1" min="22" max="22"/>
    <col width="11" customWidth="1" min="23" max="23"/>
    <col width="11" customWidth="1" min="24" max="24"/>
    <col width="11" customWidth="1" min="25" max="25"/>
    <col width="11" customWidth="1" min="26" max="26"/>
    <col width="11" customWidth="1" min="27" max="27"/>
    <col width="40" customWidth="1" min="28" max="28"/>
  </cols>
  <sheetData>
    <row r="1">
      <c r="A1" s="18" t="inlineStr">
        <is>
          <t>Rol 3 · casos de prueba</t>
        </is>
      </c>
    </row>
    <row r="3">
      <c r="A3" s="19" t="inlineStr">
        <is>
          <t>Caso</t>
        </is>
      </c>
      <c r="B3" s="19" t="inlineStr">
        <is>
          <t>Tarea</t>
        </is>
      </c>
      <c r="C3" s="19" t="inlineStr">
        <is>
          <t>Resultado esperado</t>
        </is>
      </c>
    </row>
    <row r="4" ht="30" customHeight="1">
      <c r="A4" s="6" t="inlineStr">
        <is>
          <t>R3-01</t>
        </is>
      </c>
      <c r="B4" s="5" t="inlineStr">
        <is>
          <t>&lt;Tarea&gt;</t>
        </is>
      </c>
      <c r="C4" s="5" t="inlineStr">
        <is>
          <t>&lt;Resultado esperado&gt;</t>
        </is>
      </c>
    </row>
    <row r="5" ht="30" customHeight="1">
      <c r="A5" s="6" t="inlineStr">
        <is>
          <t>R3-02</t>
        </is>
      </c>
      <c r="B5" s="5" t="inlineStr">
        <is>
          <t>&lt;Tarea&gt;</t>
        </is>
      </c>
      <c r="C5" s="5" t="inlineStr">
        <is>
          <t>&lt;Resultado esperado&gt;</t>
        </is>
      </c>
    </row>
    <row r="7">
      <c r="A7" s="9" t="n"/>
      <c r="B7" s="9" t="n"/>
      <c r="C7" s="9" t="n"/>
      <c r="D7" s="9" t="inlineStr">
        <is>
          <t>R3-01</t>
        </is>
      </c>
      <c r="E7" s="9" t="n"/>
      <c r="F7" s="9" t="n"/>
      <c r="G7" s="9" t="n"/>
      <c r="H7" s="9" t="inlineStr">
        <is>
          <t>R3-02</t>
        </is>
      </c>
      <c r="I7" s="9" t="n"/>
      <c r="J7" s="9" t="n"/>
      <c r="K7" s="9" t="n"/>
      <c r="L7" s="9" t="inlineStr">
        <is>
          <t>SUS (1 a 5)</t>
        </is>
      </c>
      <c r="M7" s="9" t="n"/>
      <c r="N7" s="9" t="n"/>
      <c r="O7" s="9" t="n"/>
      <c r="P7" s="9" t="n"/>
      <c r="Q7" s="9" t="n"/>
      <c r="R7" s="9" t="n"/>
      <c r="S7" s="9" t="n"/>
      <c r="T7" s="9" t="n"/>
      <c r="U7" s="9" t="n"/>
      <c r="V7" s="9" t="inlineStr">
        <is>
          <t>Calculado (no editar)</t>
        </is>
      </c>
      <c r="W7" s="9" t="n"/>
      <c r="X7" s="9" t="n"/>
      <c r="Y7" s="9" t="n"/>
      <c r="Z7" s="9" t="n"/>
      <c r="AA7" s="9" t="n"/>
      <c r="AB7" s="9" t="n"/>
    </row>
    <row r="8" ht="30" customHeight="1">
      <c r="A8" s="16" t="inlineStr">
        <is>
          <t>Participante (código)</t>
        </is>
      </c>
      <c r="B8" s="16" t="inlineStr">
        <is>
          <t>Fecha</t>
        </is>
      </c>
      <c r="C8" s="16" t="inlineStr">
        <is>
          <t>Archivo de video</t>
        </is>
      </c>
      <c r="D8" s="16" t="inlineStr">
        <is>
          <t>Resultado</t>
        </is>
      </c>
      <c r="E8" s="16" t="inlineStr">
        <is>
          <t>Minuto en video</t>
        </is>
      </c>
      <c r="F8" s="16" t="inlineStr">
        <is>
          <t>Tiempo (min)</t>
        </is>
      </c>
      <c r="G8" s="16" t="inlineStr">
        <is>
          <t>Errores</t>
        </is>
      </c>
      <c r="H8" s="16" t="inlineStr">
        <is>
          <t>Resultado</t>
        </is>
      </c>
      <c r="I8" s="16" t="inlineStr">
        <is>
          <t>Minuto en video</t>
        </is>
      </c>
      <c r="J8" s="16" t="inlineStr">
        <is>
          <t>Tiempo (min)</t>
        </is>
      </c>
      <c r="K8" s="16" t="inlineStr">
        <is>
          <t>Errores</t>
        </is>
      </c>
      <c r="L8" s="16" t="inlineStr">
        <is>
          <t>P1</t>
        </is>
      </c>
      <c r="M8" s="16" t="inlineStr">
        <is>
          <t>P2</t>
        </is>
      </c>
      <c r="N8" s="16" t="inlineStr">
        <is>
          <t>P3</t>
        </is>
      </c>
      <c r="O8" s="16" t="inlineStr">
        <is>
          <t>P4</t>
        </is>
      </c>
      <c r="P8" s="16" t="inlineStr">
        <is>
          <t>P5</t>
        </is>
      </c>
      <c r="Q8" s="16" t="inlineStr">
        <is>
          <t>P6</t>
        </is>
      </c>
      <c r="R8" s="16" t="inlineStr">
        <is>
          <t>P7</t>
        </is>
      </c>
      <c r="S8" s="16" t="inlineStr">
        <is>
          <t>P8</t>
        </is>
      </c>
      <c r="T8" s="16" t="inlineStr">
        <is>
          <t>P9</t>
        </is>
      </c>
      <c r="U8" s="16" t="inlineStr">
        <is>
          <t>P10</t>
        </is>
      </c>
      <c r="V8" s="16" t="inlineStr">
        <is>
          <t>Puntaje SUS</t>
        </is>
      </c>
      <c r="W8" s="16" t="inlineStr">
        <is>
          <t>Casos intentados</t>
        </is>
      </c>
      <c r="X8" s="16" t="inlineStr">
        <is>
          <t>Casos en Cumple</t>
        </is>
      </c>
      <c r="Y8" s="16" t="inlineStr">
        <is>
          <t>Éxito de tareas</t>
        </is>
      </c>
      <c r="Z8" s="16" t="inlineStr">
        <is>
          <t>Errores totales</t>
        </is>
      </c>
      <c r="AA8" s="16" t="inlineStr">
        <is>
          <t>Tiempo promedio por caso (min)</t>
        </is>
      </c>
      <c r="AB8" s="16" t="inlineStr">
        <is>
          <t>Observaciones</t>
        </is>
      </c>
    </row>
    <row r="9">
      <c r="A9" s="20" t="inlineStr">
        <is>
          <t>EJEMPLO</t>
        </is>
      </c>
      <c r="B9" s="21" t="n">
        <v>46037</v>
      </c>
      <c r="C9" s="20" t="inlineStr">
        <is>
          <t>R3-01.mp4</t>
        </is>
      </c>
      <c r="D9" s="22" t="inlineStr">
        <is>
          <t>Cumple</t>
        </is>
      </c>
      <c r="E9" s="23" t="inlineStr">
        <is>
          <t>01:00</t>
        </is>
      </c>
      <c r="F9" s="24" t="n">
        <v>1.5</v>
      </c>
      <c r="G9" s="20" t="n">
        <v>0</v>
      </c>
      <c r="H9" s="22" t="inlineStr">
        <is>
          <t>Con ayuda</t>
        </is>
      </c>
      <c r="I9" s="23" t="inlineStr">
        <is>
          <t>04:17</t>
        </is>
      </c>
      <c r="J9" s="24" t="n">
        <v>2.2</v>
      </c>
      <c r="K9" s="20" t="n">
        <v>1</v>
      </c>
      <c r="L9" s="22" t="n">
        <v>4</v>
      </c>
      <c r="M9" s="22" t="n">
        <v>2</v>
      </c>
      <c r="N9" s="22" t="n">
        <v>4</v>
      </c>
      <c r="O9" s="22" t="n">
        <v>1</v>
      </c>
      <c r="P9" s="22" t="n">
        <v>4</v>
      </c>
      <c r="Q9" s="22" t="n">
        <v>2</v>
      </c>
      <c r="R9" s="22" t="n">
        <v>5</v>
      </c>
      <c r="S9" s="22" t="n">
        <v>1</v>
      </c>
      <c r="T9" s="22" t="n">
        <v>4</v>
      </c>
      <c r="U9" s="22" t="n">
        <v>2</v>
      </c>
      <c r="V9" s="25">
        <f>IF(COUNT(L9:U9)=10,((L9+N9+P9+R9+T9-5)+(25-M9-O9-Q9-S9-U9))*2.5,"")</f>
        <v/>
      </c>
      <c r="W9" s="26">
        <f>IF($A9="","",(D9&lt;&gt;"")+(H9&lt;&gt;""))</f>
        <v/>
      </c>
      <c r="X9" s="26">
        <f>IF($A9="","",(D9="Cumple")+(H9="Cumple"))</f>
        <v/>
      </c>
      <c r="Y9" s="27">
        <f>IF($A9="","",IF(W9=0,"",X9/W9))</f>
        <v/>
      </c>
      <c r="Z9" s="26">
        <f>IF($A9="","",N(G9)+N(K9))</f>
        <v/>
      </c>
      <c r="AA9" s="25">
        <f>IF($A9="","",IF(COUNT(F9,J9)=0,"",AVERAGE(F9,J9)))</f>
        <v/>
      </c>
      <c r="AB9" s="20" t="inlineStr">
        <is>
          <t>Fila de ejemplo: no cuenta en el resumen</t>
        </is>
      </c>
    </row>
    <row r="10">
      <c r="A10" s="28" t="n"/>
      <c r="B10" s="29" t="n"/>
      <c r="C10" s="28" t="n"/>
      <c r="D10" s="30" t="n"/>
      <c r="E10" s="31" t="n"/>
      <c r="F10" s="32" t="n"/>
      <c r="G10" s="28" t="n"/>
      <c r="H10" s="30" t="n"/>
      <c r="I10" s="31" t="n"/>
      <c r="J10" s="32" t="n"/>
      <c r="K10" s="28" t="n"/>
      <c r="L10" s="30" t="n"/>
      <c r="M10" s="30" t="n"/>
      <c r="N10" s="30" t="n"/>
      <c r="O10" s="30" t="n"/>
      <c r="P10" s="30" t="n"/>
      <c r="Q10" s="30" t="n"/>
      <c r="R10" s="30" t="n"/>
      <c r="S10" s="30" t="n"/>
      <c r="T10" s="30" t="n"/>
      <c r="U10" s="30" t="n"/>
      <c r="V10" s="14">
        <f>IF(COUNT(L10:U10)=10,((L10+N10+P10+R10+T10-5)+(25-M10-O10-Q10-S10-U10))*2.5,"")</f>
        <v/>
      </c>
      <c r="W10" s="11">
        <f>IF($A10="","",(D10&lt;&gt;"")+(H10&lt;&gt;""))</f>
        <v/>
      </c>
      <c r="X10" s="11">
        <f>IF($A10="","",(D10="Cumple")+(H10="Cumple"))</f>
        <v/>
      </c>
      <c r="Y10" s="13">
        <f>IF($A10="","",IF(W10=0,"",X10/W10))</f>
        <v/>
      </c>
      <c r="Z10" s="11">
        <f>IF($A10="","",N(G10)+N(K10))</f>
        <v/>
      </c>
      <c r="AA10" s="14">
        <f>IF($A10="","",IF(COUNT(F10,J10)=0,"",AVERAGE(F10,J10)))</f>
        <v/>
      </c>
      <c r="AB10" s="28" t="n"/>
    </row>
    <row r="11">
      <c r="A11" s="28" t="n"/>
      <c r="B11" s="29" t="n"/>
      <c r="C11" s="28" t="n"/>
      <c r="D11" s="30" t="n"/>
      <c r="E11" s="31" t="n"/>
      <c r="F11" s="32" t="n"/>
      <c r="G11" s="28" t="n"/>
      <c r="H11" s="30" t="n"/>
      <c r="I11" s="31" t="n"/>
      <c r="J11" s="32" t="n"/>
      <c r="K11" s="28" t="n"/>
      <c r="L11" s="30" t="n"/>
      <c r="M11" s="30" t="n"/>
      <c r="N11" s="30" t="n"/>
      <c r="O11" s="30" t="n"/>
      <c r="P11" s="30" t="n"/>
      <c r="Q11" s="30" t="n"/>
      <c r="R11" s="30" t="n"/>
      <c r="S11" s="30" t="n"/>
      <c r="T11" s="30" t="n"/>
      <c r="U11" s="30" t="n"/>
      <c r="V11" s="14">
        <f>IF(COUNT(L11:U11)=10,((L11+N11+P11+R11+T11-5)+(25-M11-O11-Q11-S11-U11))*2.5,"")</f>
        <v/>
      </c>
      <c r="W11" s="11">
        <f>IF($A11="","",(D11&lt;&gt;"")+(H11&lt;&gt;""))</f>
        <v/>
      </c>
      <c r="X11" s="11">
        <f>IF($A11="","",(D11="Cumple")+(H11="Cumple"))</f>
        <v/>
      </c>
      <c r="Y11" s="13">
        <f>IF($A11="","",IF(W11=0,"",X11/W11))</f>
        <v/>
      </c>
      <c r="Z11" s="11">
        <f>IF($A11="","",N(G11)+N(K11))</f>
        <v/>
      </c>
      <c r="AA11" s="14">
        <f>IF($A11="","",IF(COUNT(F11,J11)=0,"",AVERAGE(F11,J11)))</f>
        <v/>
      </c>
      <c r="AB11" s="28" t="n"/>
    </row>
    <row r="12">
      <c r="A12" s="28" t="n"/>
      <c r="B12" s="29" t="n"/>
      <c r="C12" s="28" t="n"/>
      <c r="D12" s="30" t="n"/>
      <c r="E12" s="31" t="n"/>
      <c r="F12" s="32" t="n"/>
      <c r="G12" s="28" t="n"/>
      <c r="H12" s="30" t="n"/>
      <c r="I12" s="31" t="n"/>
      <c r="J12" s="32" t="n"/>
      <c r="K12" s="28" t="n"/>
      <c r="L12" s="30" t="n"/>
      <c r="M12" s="30" t="n"/>
      <c r="N12" s="30" t="n"/>
      <c r="O12" s="30" t="n"/>
      <c r="P12" s="30" t="n"/>
      <c r="Q12" s="30" t="n"/>
      <c r="R12" s="30" t="n"/>
      <c r="S12" s="30" t="n"/>
      <c r="T12" s="30" t="n"/>
      <c r="U12" s="30" t="n"/>
      <c r="V12" s="14">
        <f>IF(COUNT(L12:U12)=10,((L12+N12+P12+R12+T12-5)+(25-M12-O12-Q12-S12-U12))*2.5,"")</f>
        <v/>
      </c>
      <c r="W12" s="11">
        <f>IF($A12="","",(D12&lt;&gt;"")+(H12&lt;&gt;""))</f>
        <v/>
      </c>
      <c r="X12" s="11">
        <f>IF($A12="","",(D12="Cumple")+(H12="Cumple"))</f>
        <v/>
      </c>
      <c r="Y12" s="13">
        <f>IF($A12="","",IF(W12=0,"",X12/W12))</f>
        <v/>
      </c>
      <c r="Z12" s="11">
        <f>IF($A12="","",N(G12)+N(K12))</f>
        <v/>
      </c>
      <c r="AA12" s="14">
        <f>IF($A12="","",IF(COUNT(F12,J12)=0,"",AVERAGE(F12,J12)))</f>
        <v/>
      </c>
      <c r="AB12" s="28" t="n"/>
    </row>
    <row r="13">
      <c r="A13" s="28" t="n"/>
      <c r="B13" s="29" t="n"/>
      <c r="C13" s="28" t="n"/>
      <c r="D13" s="30" t="n"/>
      <c r="E13" s="31" t="n"/>
      <c r="F13" s="32" t="n"/>
      <c r="G13" s="28" t="n"/>
      <c r="H13" s="30" t="n"/>
      <c r="I13" s="31" t="n"/>
      <c r="J13" s="32" t="n"/>
      <c r="K13" s="28" t="n"/>
      <c r="L13" s="30" t="n"/>
      <c r="M13" s="30" t="n"/>
      <c r="N13" s="30" t="n"/>
      <c r="O13" s="30" t="n"/>
      <c r="P13" s="30" t="n"/>
      <c r="Q13" s="30" t="n"/>
      <c r="R13" s="30" t="n"/>
      <c r="S13" s="30" t="n"/>
      <c r="T13" s="30" t="n"/>
      <c r="U13" s="30" t="n"/>
      <c r="V13" s="14">
        <f>IF(COUNT(L13:U13)=10,((L13+N13+P13+R13+T13-5)+(25-M13-O13-Q13-S13-U13))*2.5,"")</f>
        <v/>
      </c>
      <c r="W13" s="11">
        <f>IF($A13="","",(D13&lt;&gt;"")+(H13&lt;&gt;""))</f>
        <v/>
      </c>
      <c r="X13" s="11">
        <f>IF($A13="","",(D13="Cumple")+(H13="Cumple"))</f>
        <v/>
      </c>
      <c r="Y13" s="13">
        <f>IF($A13="","",IF(W13=0,"",X13/W13))</f>
        <v/>
      </c>
      <c r="Z13" s="11">
        <f>IF($A13="","",N(G13)+N(K13))</f>
        <v/>
      </c>
      <c r="AA13" s="14">
        <f>IF($A13="","",IF(COUNT(F13,J13)=0,"",AVERAGE(F13,J13)))</f>
        <v/>
      </c>
      <c r="AB13" s="28" t="n"/>
    </row>
    <row r="14">
      <c r="A14" s="28" t="n"/>
      <c r="B14" s="29" t="n"/>
      <c r="C14" s="28" t="n"/>
      <c r="D14" s="30" t="n"/>
      <c r="E14" s="31" t="n"/>
      <c r="F14" s="32" t="n"/>
      <c r="G14" s="28" t="n"/>
      <c r="H14" s="30" t="n"/>
      <c r="I14" s="31" t="n"/>
      <c r="J14" s="32" t="n"/>
      <c r="K14" s="28" t="n"/>
      <c r="L14" s="30" t="n"/>
      <c r="M14" s="30" t="n"/>
      <c r="N14" s="30" t="n"/>
      <c r="O14" s="30" t="n"/>
      <c r="P14" s="30" t="n"/>
      <c r="Q14" s="30" t="n"/>
      <c r="R14" s="30" t="n"/>
      <c r="S14" s="30" t="n"/>
      <c r="T14" s="30" t="n"/>
      <c r="U14" s="30" t="n"/>
      <c r="V14" s="14">
        <f>IF(COUNT(L14:U14)=10,((L14+N14+P14+R14+T14-5)+(25-M14-O14-Q14-S14-U14))*2.5,"")</f>
        <v/>
      </c>
      <c r="W14" s="11">
        <f>IF($A14="","",(D14&lt;&gt;"")+(H14&lt;&gt;""))</f>
        <v/>
      </c>
      <c r="X14" s="11">
        <f>IF($A14="","",(D14="Cumple")+(H14="Cumple"))</f>
        <v/>
      </c>
      <c r="Y14" s="13">
        <f>IF($A14="","",IF(W14=0,"",X14/W14))</f>
        <v/>
      </c>
      <c r="Z14" s="11">
        <f>IF($A14="","",N(G14)+N(K14))</f>
        <v/>
      </c>
      <c r="AA14" s="14">
        <f>IF($A14="","",IF(COUNT(F14,J14)=0,"",AVERAGE(F14,J14)))</f>
        <v/>
      </c>
      <c r="AB14" s="28" t="n"/>
    </row>
    <row r="15">
      <c r="A15" s="28" t="n"/>
      <c r="B15" s="29" t="n"/>
      <c r="C15" s="28" t="n"/>
      <c r="D15" s="30" t="n"/>
      <c r="E15" s="31" t="n"/>
      <c r="F15" s="32" t="n"/>
      <c r="G15" s="28" t="n"/>
      <c r="H15" s="30" t="n"/>
      <c r="I15" s="31" t="n"/>
      <c r="J15" s="32" t="n"/>
      <c r="K15" s="28" t="n"/>
      <c r="L15" s="30" t="n"/>
      <c r="M15" s="30" t="n"/>
      <c r="N15" s="30" t="n"/>
      <c r="O15" s="30" t="n"/>
      <c r="P15" s="30" t="n"/>
      <c r="Q15" s="30" t="n"/>
      <c r="R15" s="30" t="n"/>
      <c r="S15" s="30" t="n"/>
      <c r="T15" s="30" t="n"/>
      <c r="U15" s="30" t="n"/>
      <c r="V15" s="14">
        <f>IF(COUNT(L15:U15)=10,((L15+N15+P15+R15+T15-5)+(25-M15-O15-Q15-S15-U15))*2.5,"")</f>
        <v/>
      </c>
      <c r="W15" s="11">
        <f>IF($A15="","",(D15&lt;&gt;"")+(H15&lt;&gt;""))</f>
        <v/>
      </c>
      <c r="X15" s="11">
        <f>IF($A15="","",(D15="Cumple")+(H15="Cumple"))</f>
        <v/>
      </c>
      <c r="Y15" s="13">
        <f>IF($A15="","",IF(W15=0,"",X15/W15))</f>
        <v/>
      </c>
      <c r="Z15" s="11">
        <f>IF($A15="","",N(G15)+N(K15))</f>
        <v/>
      </c>
      <c r="AA15" s="14">
        <f>IF($A15="","",IF(COUNT(F15,J15)=0,"",AVERAGE(F15,J15)))</f>
        <v/>
      </c>
      <c r="AB15" s="28" t="n"/>
    </row>
    <row r="16">
      <c r="A16" s="28" t="n"/>
      <c r="B16" s="29" t="n"/>
      <c r="C16" s="28" t="n"/>
      <c r="D16" s="30" t="n"/>
      <c r="E16" s="31" t="n"/>
      <c r="F16" s="32" t="n"/>
      <c r="G16" s="28" t="n"/>
      <c r="H16" s="30" t="n"/>
      <c r="I16" s="31" t="n"/>
      <c r="J16" s="32" t="n"/>
      <c r="K16" s="28" t="n"/>
      <c r="L16" s="30" t="n"/>
      <c r="M16" s="30" t="n"/>
      <c r="N16" s="30" t="n"/>
      <c r="O16" s="30" t="n"/>
      <c r="P16" s="30" t="n"/>
      <c r="Q16" s="30" t="n"/>
      <c r="R16" s="30" t="n"/>
      <c r="S16" s="30" t="n"/>
      <c r="T16" s="30" t="n"/>
      <c r="U16" s="30" t="n"/>
      <c r="V16" s="14">
        <f>IF(COUNT(L16:U16)=10,((L16+N16+P16+R16+T16-5)+(25-M16-O16-Q16-S16-U16))*2.5,"")</f>
        <v/>
      </c>
      <c r="W16" s="11">
        <f>IF($A16="","",(D16&lt;&gt;"")+(H16&lt;&gt;""))</f>
        <v/>
      </c>
      <c r="X16" s="11">
        <f>IF($A16="","",(D16="Cumple")+(H16="Cumple"))</f>
        <v/>
      </c>
      <c r="Y16" s="13">
        <f>IF($A16="","",IF(W16=0,"",X16/W16))</f>
        <v/>
      </c>
      <c r="Z16" s="11">
        <f>IF($A16="","",N(G16)+N(K16))</f>
        <v/>
      </c>
      <c r="AA16" s="14">
        <f>IF($A16="","",IF(COUNT(F16,J16)=0,"",AVERAGE(F16,J16)))</f>
        <v/>
      </c>
      <c r="AB16" s="28" t="n"/>
    </row>
    <row r="17">
      <c r="A17" s="28" t="n"/>
      <c r="B17" s="29" t="n"/>
      <c r="C17" s="28" t="n"/>
      <c r="D17" s="30" t="n"/>
      <c r="E17" s="31" t="n"/>
      <c r="F17" s="32" t="n"/>
      <c r="G17" s="28" t="n"/>
      <c r="H17" s="30" t="n"/>
      <c r="I17" s="31" t="n"/>
      <c r="J17" s="32" t="n"/>
      <c r="K17" s="28" t="n"/>
      <c r="L17" s="30" t="n"/>
      <c r="M17" s="30" t="n"/>
      <c r="N17" s="30" t="n"/>
      <c r="O17" s="30" t="n"/>
      <c r="P17" s="30" t="n"/>
      <c r="Q17" s="30" t="n"/>
      <c r="R17" s="30" t="n"/>
      <c r="S17" s="30" t="n"/>
      <c r="T17" s="30" t="n"/>
      <c r="U17" s="30" t="n"/>
      <c r="V17" s="14">
        <f>IF(COUNT(L17:U17)=10,((L17+N17+P17+R17+T17-5)+(25-M17-O17-Q17-S17-U17))*2.5,"")</f>
        <v/>
      </c>
      <c r="W17" s="11">
        <f>IF($A17="","",(D17&lt;&gt;"")+(H17&lt;&gt;""))</f>
        <v/>
      </c>
      <c r="X17" s="11">
        <f>IF($A17="","",(D17="Cumple")+(H17="Cumple"))</f>
        <v/>
      </c>
      <c r="Y17" s="13">
        <f>IF($A17="","",IF(W17=0,"",X17/W17))</f>
        <v/>
      </c>
      <c r="Z17" s="11">
        <f>IF($A17="","",N(G17)+N(K17))</f>
        <v/>
      </c>
      <c r="AA17" s="14">
        <f>IF($A17="","",IF(COUNT(F17,J17)=0,"",AVERAGE(F17,J17)))</f>
        <v/>
      </c>
      <c r="AB17" s="28" t="n"/>
    </row>
    <row r="18">
      <c r="A18" s="28" t="n"/>
      <c r="B18" s="29" t="n"/>
      <c r="C18" s="28" t="n"/>
      <c r="D18" s="30" t="n"/>
      <c r="E18" s="31" t="n"/>
      <c r="F18" s="32" t="n"/>
      <c r="G18" s="28" t="n"/>
      <c r="H18" s="30" t="n"/>
      <c r="I18" s="31" t="n"/>
      <c r="J18" s="32" t="n"/>
      <c r="K18" s="28" t="n"/>
      <c r="L18" s="30" t="n"/>
      <c r="M18" s="30" t="n"/>
      <c r="N18" s="30" t="n"/>
      <c r="O18" s="30" t="n"/>
      <c r="P18" s="30" t="n"/>
      <c r="Q18" s="30" t="n"/>
      <c r="R18" s="30" t="n"/>
      <c r="S18" s="30" t="n"/>
      <c r="T18" s="30" t="n"/>
      <c r="U18" s="30" t="n"/>
      <c r="V18" s="14">
        <f>IF(COUNT(L18:U18)=10,((L18+N18+P18+R18+T18-5)+(25-M18-O18-Q18-S18-U18))*2.5,"")</f>
        <v/>
      </c>
      <c r="W18" s="11">
        <f>IF($A18="","",(D18&lt;&gt;"")+(H18&lt;&gt;""))</f>
        <v/>
      </c>
      <c r="X18" s="11">
        <f>IF($A18="","",(D18="Cumple")+(H18="Cumple"))</f>
        <v/>
      </c>
      <c r="Y18" s="13">
        <f>IF($A18="","",IF(W18=0,"",X18/W18))</f>
        <v/>
      </c>
      <c r="Z18" s="11">
        <f>IF($A18="","",N(G18)+N(K18))</f>
        <v/>
      </c>
      <c r="AA18" s="14">
        <f>IF($A18="","",IF(COUNT(F18,J18)=0,"",AVERAGE(F18,J18)))</f>
        <v/>
      </c>
      <c r="AB18" s="28" t="n"/>
    </row>
    <row r="19">
      <c r="A19" s="28" t="n"/>
      <c r="B19" s="29" t="n"/>
      <c r="C19" s="28" t="n"/>
      <c r="D19" s="30" t="n"/>
      <c r="E19" s="31" t="n"/>
      <c r="F19" s="32" t="n"/>
      <c r="G19" s="28" t="n"/>
      <c r="H19" s="30" t="n"/>
      <c r="I19" s="31" t="n"/>
      <c r="J19" s="32" t="n"/>
      <c r="K19" s="28" t="n"/>
      <c r="L19" s="30" t="n"/>
      <c r="M19" s="30" t="n"/>
      <c r="N19" s="30" t="n"/>
      <c r="O19" s="30" t="n"/>
      <c r="P19" s="30" t="n"/>
      <c r="Q19" s="30" t="n"/>
      <c r="R19" s="30" t="n"/>
      <c r="S19" s="30" t="n"/>
      <c r="T19" s="30" t="n"/>
      <c r="U19" s="30" t="n"/>
      <c r="V19" s="14">
        <f>IF(COUNT(L19:U19)=10,((L19+N19+P19+R19+T19-5)+(25-M19-O19-Q19-S19-U19))*2.5,"")</f>
        <v/>
      </c>
      <c r="W19" s="11">
        <f>IF($A19="","",(D19&lt;&gt;"")+(H19&lt;&gt;""))</f>
        <v/>
      </c>
      <c r="X19" s="11">
        <f>IF($A19="","",(D19="Cumple")+(H19="Cumple"))</f>
        <v/>
      </c>
      <c r="Y19" s="13">
        <f>IF($A19="","",IF(W19=0,"",X19/W19))</f>
        <v/>
      </c>
      <c r="Z19" s="11">
        <f>IF($A19="","",N(G19)+N(K19))</f>
        <v/>
      </c>
      <c r="AA19" s="14">
        <f>IF($A19="","",IF(COUNT(F19,J19)=0,"",AVERAGE(F19,J19)))</f>
        <v/>
      </c>
      <c r="AB19" s="28" t="n"/>
    </row>
  </sheetData>
  <mergeCells count="7">
    <mergeCell ref="C5:L5"/>
    <mergeCell ref="C4:L4"/>
    <mergeCell ref="C3:L3"/>
    <mergeCell ref="D7:G7"/>
    <mergeCell ref="H7:K7"/>
    <mergeCell ref="L7:U7"/>
    <mergeCell ref="V7:AA7"/>
  </mergeCells>
  <dataValidations count="3">
    <dataValidation sqref="D9 D10 D11 D12 D13 D14 D15 D16 D17 D18 D19 H9 H10 H11 H12 H13 H14 H15 H16 H17 H18 H19" showDropDown="0" showInputMessage="0" showErrorMessage="0" allowBlank="1" type="list">
      <formula1>"Cumple,Con ayuda,No cumple"</formula1>
    </dataValidation>
    <dataValidation sqref="L9 L10 L11 L12 L13 L14 L15 L16 L17 L18 L19 M9 M10 M11 M12 M13 M14 M15 M16 M17 M18 M19 N9 N10 N11 N12 N13 N14 N15 N16 N17 N18 N19 O9 O10 O11 O12 O13 O14 O15 O16 O17 O18 O19 P9 P10 P11 P12 P13 P14 P15 P16 P17 P18 P19 Q9 Q10 Q11 Q12 Q13 Q14 Q15 Q16 Q17 Q18 Q19 R9 R10 R11 R12 R13 R14 R15 R16 R17 R18 R19 S9 S10 S11 S12 S13 S14 S15 S16 S17 S18 S19 T9 T10 T11 T12 T13 T14 T15 T16 T17 T18 T19 U9 U10 U11 U12 U13 U14 U15 U16 U17 U18 U19" showDropDown="0" showInputMessage="0" showErrorMessage="1" allowBlank="1" error="Respuesta del 1 al 5" type="whole" operator="between">
      <formula1>1</formula1>
      <formula2>5</formula2>
    </dataValidation>
    <dataValidation sqref="F9 F10 F11 F12 F13 F14 F15 F16 F17 F18 F19 G9 G10 G11 G12 G13 G14 G15 G16 G17 G18 G19 J9 J10 J11 J12 J13 J14 J15 J16 J17 J18 J19 K9 K10 K11 K12 K13 K14 K15 K16 K17 K18 K19" showDropDown="0" showInputMessage="0" showErrorMessage="0" allowBlank="1"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2026-10-29T05:34:41Z</dcterms:created>
  <dcterms:modified xmlns:dcterms="http://purl.org/dc/terms/" xmlns:xsi="http://www.w3.org/2001/XMLSchema-instance" xsi:type="dcterms:W3CDTF">2026-10-29T05:34:41Z</dcterms:modified>
</cp:coreProperties>
</file>